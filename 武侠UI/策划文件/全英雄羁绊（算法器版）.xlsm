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840" yWindow="870" windowWidth="21840" windowHeight="10470" activeTab="2"/>
  </bookViews>
  <sheets>
    <sheet name="英雄羁绊" sheetId="7" r:id="rId1"/>
    <sheet name="法宝羁绊" sheetId="16" r:id="rId2"/>
    <sheet name="hero_jiban表" sheetId="13" r:id="rId3"/>
    <sheet name="hero_main表" sheetId="14" r:id="rId4"/>
    <sheet name="中介表" sheetId="10" r:id="rId5"/>
    <sheet name="中转表" sheetId="11" r:id="rId6"/>
    <sheet name="Sheet2" sheetId="12" r:id="rId7"/>
    <sheet name="法宝数据" sheetId="15" r:id="rId8"/>
  </sheets>
  <functionGroups builtInGroupCount="17"/>
  <externalReferences>
    <externalReference r:id="rId9"/>
  </externalReferences>
  <calcPr calcId="144525"/>
</workbook>
</file>

<file path=xl/calcChain.xml><?xml version="1.0" encoding="utf-8"?>
<calcChain xmlns="http://schemas.openxmlformats.org/spreadsheetml/2006/main">
  <c r="H136" i="13" l="1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2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48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2" i="13"/>
  <c r="E2" i="14" l="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" i="14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48" i="13"/>
  <c r="B111" i="14"/>
  <c r="B102" i="14"/>
  <c r="B109" i="14"/>
  <c r="B105" i="14"/>
  <c r="B101" i="14"/>
  <c r="B97" i="14"/>
  <c r="B93" i="14"/>
  <c r="B108" i="14"/>
  <c r="B104" i="14"/>
  <c r="B100" i="14"/>
  <c r="B96" i="14"/>
  <c r="B92" i="14"/>
  <c r="B107" i="14"/>
  <c r="B103" i="14"/>
  <c r="B99" i="14"/>
  <c r="B95" i="14"/>
  <c r="B110" i="14"/>
  <c r="B106" i="14"/>
  <c r="B98" i="14"/>
  <c r="B94" i="14"/>
  <c r="B66" i="14"/>
  <c r="B62" i="14"/>
  <c r="B58" i="14"/>
  <c r="B54" i="14"/>
  <c r="B50" i="14"/>
  <c r="B59" i="14"/>
  <c r="B47" i="14"/>
  <c r="B65" i="14"/>
  <c r="B61" i="14"/>
  <c r="B57" i="14"/>
  <c r="B53" i="14"/>
  <c r="B49" i="14"/>
  <c r="B55" i="14"/>
  <c r="B64" i="14"/>
  <c r="B60" i="14"/>
  <c r="B56" i="14"/>
  <c r="B52" i="14"/>
  <c r="B48" i="14"/>
  <c r="B63" i="14"/>
  <c r="B51" i="14"/>
  <c r="B3" i="14"/>
  <c r="B7" i="14"/>
  <c r="B11" i="14"/>
  <c r="B15" i="14"/>
  <c r="B19" i="14"/>
  <c r="B4" i="14"/>
  <c r="B8" i="14"/>
  <c r="B12" i="14"/>
  <c r="B16" i="14"/>
  <c r="B20" i="14"/>
  <c r="B5" i="14"/>
  <c r="B9" i="14"/>
  <c r="B13" i="14"/>
  <c r="B17" i="14"/>
  <c r="B21" i="14"/>
  <c r="B6" i="14"/>
  <c r="B10" i="14"/>
  <c r="B14" i="14"/>
  <c r="B18" i="14"/>
  <c r="B2" i="14"/>
  <c r="A49" i="13" l="1"/>
  <c r="B49" i="13"/>
  <c r="C49" i="13"/>
  <c r="D49" i="13"/>
  <c r="A50" i="13"/>
  <c r="B50" i="13"/>
  <c r="C50" i="13"/>
  <c r="D50" i="13"/>
  <c r="A51" i="13"/>
  <c r="B51" i="13"/>
  <c r="C51" i="13"/>
  <c r="D51" i="13"/>
  <c r="A52" i="13"/>
  <c r="B52" i="13"/>
  <c r="C52" i="13"/>
  <c r="D52" i="13"/>
  <c r="A53" i="13"/>
  <c r="B53" i="13"/>
  <c r="C53" i="13"/>
  <c r="D53" i="13"/>
  <c r="A54" i="13"/>
  <c r="B54" i="13"/>
  <c r="C54" i="13"/>
  <c r="D54" i="13"/>
  <c r="A55" i="13"/>
  <c r="B55" i="13"/>
  <c r="C55" i="13"/>
  <c r="D55" i="13"/>
  <c r="A56" i="13"/>
  <c r="B56" i="13"/>
  <c r="C56" i="13"/>
  <c r="D56" i="13"/>
  <c r="A57" i="13"/>
  <c r="B57" i="13"/>
  <c r="C57" i="13"/>
  <c r="D57" i="13"/>
  <c r="A58" i="13"/>
  <c r="B58" i="13"/>
  <c r="C58" i="13"/>
  <c r="D58" i="13"/>
  <c r="A59" i="13"/>
  <c r="B59" i="13"/>
  <c r="C59" i="13"/>
  <c r="D59" i="13"/>
  <c r="A60" i="13"/>
  <c r="B60" i="13"/>
  <c r="C60" i="13"/>
  <c r="D60" i="13"/>
  <c r="A61" i="13"/>
  <c r="B61" i="13"/>
  <c r="C61" i="13"/>
  <c r="D61" i="13"/>
  <c r="A62" i="13"/>
  <c r="B62" i="13"/>
  <c r="C62" i="13"/>
  <c r="D62" i="13"/>
  <c r="A63" i="13"/>
  <c r="B63" i="13"/>
  <c r="C63" i="13"/>
  <c r="D63" i="13"/>
  <c r="A64" i="13"/>
  <c r="B64" i="13"/>
  <c r="C64" i="13"/>
  <c r="D64" i="13"/>
  <c r="A65" i="13"/>
  <c r="B65" i="13"/>
  <c r="C65" i="13"/>
  <c r="D65" i="13"/>
  <c r="A66" i="13"/>
  <c r="B66" i="13"/>
  <c r="C66" i="13"/>
  <c r="D66" i="13"/>
  <c r="A67" i="13"/>
  <c r="B67" i="13"/>
  <c r="C67" i="13"/>
  <c r="D67" i="13"/>
  <c r="A68" i="13"/>
  <c r="B68" i="13"/>
  <c r="C68" i="13"/>
  <c r="D68" i="13"/>
  <c r="A69" i="13"/>
  <c r="B69" i="13"/>
  <c r="C69" i="13"/>
  <c r="D69" i="13"/>
  <c r="A70" i="13"/>
  <c r="B70" i="13"/>
  <c r="C70" i="13"/>
  <c r="D70" i="13"/>
  <c r="A71" i="13"/>
  <c r="B71" i="13"/>
  <c r="C71" i="13"/>
  <c r="D71" i="13"/>
  <c r="A72" i="13"/>
  <c r="B72" i="13"/>
  <c r="C72" i="13"/>
  <c r="D72" i="13"/>
  <c r="A73" i="13"/>
  <c r="B73" i="13"/>
  <c r="C73" i="13"/>
  <c r="D73" i="13"/>
  <c r="A74" i="13"/>
  <c r="B74" i="13"/>
  <c r="C74" i="13"/>
  <c r="D74" i="13"/>
  <c r="A75" i="13"/>
  <c r="B75" i="13"/>
  <c r="C75" i="13"/>
  <c r="D75" i="13"/>
  <c r="A76" i="13"/>
  <c r="B76" i="13"/>
  <c r="C76" i="13"/>
  <c r="D76" i="13"/>
  <c r="A77" i="13"/>
  <c r="B77" i="13"/>
  <c r="C77" i="13"/>
  <c r="D77" i="13"/>
  <c r="A78" i="13"/>
  <c r="B78" i="13"/>
  <c r="C78" i="13"/>
  <c r="D78" i="13"/>
  <c r="A79" i="13"/>
  <c r="B79" i="13"/>
  <c r="C79" i="13"/>
  <c r="D79" i="13"/>
  <c r="A80" i="13"/>
  <c r="B80" i="13"/>
  <c r="C80" i="13"/>
  <c r="D80" i="13"/>
  <c r="A81" i="13"/>
  <c r="B81" i="13"/>
  <c r="C81" i="13"/>
  <c r="D81" i="13"/>
  <c r="A82" i="13"/>
  <c r="B82" i="13"/>
  <c r="C82" i="13"/>
  <c r="D82" i="13"/>
  <c r="A83" i="13"/>
  <c r="B83" i="13"/>
  <c r="C83" i="13"/>
  <c r="D83" i="13"/>
  <c r="A84" i="13"/>
  <c r="B84" i="13"/>
  <c r="C84" i="13"/>
  <c r="D84" i="13"/>
  <c r="A85" i="13"/>
  <c r="B85" i="13"/>
  <c r="C85" i="13"/>
  <c r="D85" i="13"/>
  <c r="A86" i="13"/>
  <c r="B86" i="13"/>
  <c r="C86" i="13"/>
  <c r="D86" i="13"/>
  <c r="A87" i="13"/>
  <c r="B87" i="13"/>
  <c r="C87" i="13"/>
  <c r="D87" i="13"/>
  <c r="A88" i="13"/>
  <c r="B88" i="13"/>
  <c r="C88" i="13"/>
  <c r="D88" i="13"/>
  <c r="A89" i="13"/>
  <c r="B89" i="13"/>
  <c r="C89" i="13"/>
  <c r="D89" i="13"/>
  <c r="A90" i="13"/>
  <c r="B90" i="13"/>
  <c r="C90" i="13"/>
  <c r="D90" i="13"/>
  <c r="B48" i="13"/>
  <c r="C48" i="13"/>
  <c r="D48" i="13"/>
  <c r="A48" i="13"/>
  <c r="P44" i="13"/>
  <c r="O44" i="13"/>
  <c r="N44" i="13"/>
  <c r="AG10" i="13" l="1"/>
  <c r="AG3" i="13" l="1"/>
  <c r="AH3" i="13"/>
  <c r="AI3" i="13"/>
  <c r="AG4" i="13"/>
  <c r="AH4" i="13"/>
  <c r="AI4" i="13"/>
  <c r="AG5" i="13"/>
  <c r="AH5" i="13"/>
  <c r="AI5" i="13"/>
  <c r="AG6" i="13"/>
  <c r="AH6" i="13"/>
  <c r="AI6" i="13"/>
  <c r="AG7" i="13"/>
  <c r="AH7" i="13"/>
  <c r="AI7" i="13"/>
  <c r="AG8" i="13"/>
  <c r="AH8" i="13"/>
  <c r="AI8" i="13"/>
  <c r="AG9" i="13"/>
  <c r="AH9" i="13"/>
  <c r="AI9" i="13"/>
  <c r="AH10" i="13"/>
  <c r="AI10" i="13"/>
  <c r="AG11" i="13"/>
  <c r="AH11" i="13"/>
  <c r="AI11" i="13"/>
  <c r="AG12" i="13"/>
  <c r="AH12" i="13"/>
  <c r="AI12" i="13"/>
  <c r="AG13" i="13"/>
  <c r="AH13" i="13"/>
  <c r="AI13" i="13"/>
  <c r="AG14" i="13"/>
  <c r="AH14" i="13"/>
  <c r="AI14" i="13"/>
  <c r="AG15" i="13"/>
  <c r="AH15" i="13"/>
  <c r="AI15" i="13"/>
  <c r="AG16" i="13"/>
  <c r="AH16" i="13"/>
  <c r="AI16" i="13"/>
  <c r="AG17" i="13"/>
  <c r="AH17" i="13"/>
  <c r="AI17" i="13"/>
  <c r="AG18" i="13"/>
  <c r="AH18" i="13"/>
  <c r="AI18" i="13"/>
  <c r="AG19" i="13"/>
  <c r="AH19" i="13"/>
  <c r="AI19" i="13"/>
  <c r="AG20" i="13"/>
  <c r="AH20" i="13"/>
  <c r="AI20" i="13"/>
  <c r="AG21" i="13"/>
  <c r="AH21" i="13"/>
  <c r="AI21" i="13"/>
  <c r="AG22" i="13"/>
  <c r="AH22" i="13"/>
  <c r="AI22" i="13"/>
  <c r="AG23" i="13"/>
  <c r="AH23" i="13"/>
  <c r="AI23" i="13"/>
  <c r="AG24" i="13"/>
  <c r="AH24" i="13"/>
  <c r="AI24" i="13"/>
  <c r="AG25" i="13"/>
  <c r="AH25" i="13"/>
  <c r="AI25" i="13"/>
  <c r="AG26" i="13"/>
  <c r="AH26" i="13"/>
  <c r="AI26" i="13"/>
  <c r="AG27" i="13"/>
  <c r="AH27" i="13"/>
  <c r="AI27" i="13"/>
  <c r="AG28" i="13"/>
  <c r="AH28" i="13"/>
  <c r="AI28" i="13"/>
  <c r="AG29" i="13"/>
  <c r="AH29" i="13"/>
  <c r="AI29" i="13"/>
  <c r="AG30" i="13"/>
  <c r="AH30" i="13"/>
  <c r="AI30" i="13"/>
  <c r="AG31" i="13"/>
  <c r="AH31" i="13"/>
  <c r="AI31" i="13"/>
  <c r="AG32" i="13"/>
  <c r="AH32" i="13"/>
  <c r="AI32" i="13"/>
  <c r="AG33" i="13"/>
  <c r="AH33" i="13"/>
  <c r="AI33" i="13"/>
  <c r="AG34" i="13"/>
  <c r="AH34" i="13"/>
  <c r="AI34" i="13"/>
  <c r="AG35" i="13"/>
  <c r="AH35" i="13"/>
  <c r="AI35" i="13"/>
  <c r="AG36" i="13"/>
  <c r="AH36" i="13"/>
  <c r="AI36" i="13"/>
  <c r="AG37" i="13"/>
  <c r="AH37" i="13"/>
  <c r="AI37" i="13"/>
  <c r="AG38" i="13"/>
  <c r="AH38" i="13"/>
  <c r="AI38" i="13"/>
  <c r="AG39" i="13"/>
  <c r="AH39" i="13"/>
  <c r="AI39" i="13"/>
  <c r="AG40" i="13"/>
  <c r="AH40" i="13"/>
  <c r="AI40" i="13"/>
  <c r="AG41" i="13"/>
  <c r="AH41" i="13"/>
  <c r="AI41" i="13"/>
  <c r="AG42" i="13"/>
  <c r="AH42" i="13"/>
  <c r="AI42" i="13"/>
  <c r="AG43" i="13"/>
  <c r="AH43" i="13"/>
  <c r="AI43" i="13"/>
  <c r="AG44" i="13"/>
  <c r="AH44" i="13"/>
  <c r="AI44" i="13"/>
  <c r="AH2" i="13"/>
  <c r="AI2" i="13"/>
  <c r="AG2" i="13"/>
  <c r="V3" i="13" l="1"/>
  <c r="V7" i="13"/>
  <c r="V11" i="13"/>
  <c r="V15" i="13"/>
  <c r="V19" i="13"/>
  <c r="V10" i="13"/>
  <c r="V18" i="13"/>
  <c r="V9" i="13"/>
  <c r="V13" i="13"/>
  <c r="V21" i="13"/>
  <c r="V4" i="13"/>
  <c r="V8" i="13"/>
  <c r="V12" i="13"/>
  <c r="V16" i="13"/>
  <c r="V20" i="13"/>
  <c r="V2" i="13"/>
  <c r="V6" i="13"/>
  <c r="V14" i="13"/>
  <c r="V5" i="13"/>
  <c r="V17" i="13"/>
  <c r="W4" i="13"/>
  <c r="W8" i="13"/>
  <c r="W12" i="13"/>
  <c r="W16" i="13"/>
  <c r="W20" i="13"/>
  <c r="W7" i="13"/>
  <c r="W15" i="13"/>
  <c r="W6" i="13"/>
  <c r="W10" i="13"/>
  <c r="W14" i="13"/>
  <c r="W18" i="13"/>
  <c r="W5" i="13"/>
  <c r="W9" i="13"/>
  <c r="W13" i="13"/>
  <c r="W17" i="13"/>
  <c r="W21" i="13"/>
  <c r="W3" i="13"/>
  <c r="W11" i="13"/>
  <c r="W19" i="13"/>
  <c r="W2" i="13"/>
  <c r="X5" i="13"/>
  <c r="X9" i="13"/>
  <c r="X13" i="13"/>
  <c r="X17" i="13"/>
  <c r="X21" i="13"/>
  <c r="X4" i="13"/>
  <c r="X12" i="13"/>
  <c r="X20" i="13"/>
  <c r="X3" i="13"/>
  <c r="X7" i="13"/>
  <c r="X11" i="13"/>
  <c r="X15" i="13"/>
  <c r="X6" i="13"/>
  <c r="X10" i="13"/>
  <c r="X14" i="13"/>
  <c r="X18" i="13"/>
  <c r="X8" i="13"/>
  <c r="X16" i="13"/>
  <c r="X19" i="13"/>
  <c r="X2" i="13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2" i="13"/>
  <c r="Y3" i="13" l="1"/>
  <c r="Y19" i="13"/>
  <c r="Y21" i="13"/>
  <c r="Y17" i="13"/>
  <c r="Y16" i="13"/>
  <c r="Y20" i="13"/>
  <c r="Y12" i="13"/>
  <c r="Y18" i="13"/>
  <c r="Y4" i="13"/>
  <c r="Y5" i="13"/>
  <c r="Y9" i="13"/>
  <c r="Y15" i="13"/>
  <c r="Y2" i="13"/>
  <c r="Y8" i="13"/>
  <c r="Y7" i="13"/>
  <c r="Y10" i="13"/>
  <c r="Y14" i="13"/>
  <c r="Y6" i="13"/>
  <c r="Y13" i="13"/>
  <c r="Y11" i="13"/>
  <c r="J34" i="13"/>
  <c r="K34" i="13"/>
  <c r="L34" i="13"/>
  <c r="M34" i="13"/>
  <c r="N34" i="13"/>
  <c r="O34" i="13"/>
  <c r="P34" i="13"/>
  <c r="Q34" i="13"/>
  <c r="L80" i="13"/>
  <c r="M80" i="13"/>
  <c r="L126" i="13"/>
  <c r="M126" i="13"/>
  <c r="A126" i="13"/>
  <c r="B126" i="13"/>
  <c r="K126" i="13" l="1"/>
  <c r="O126" i="13"/>
  <c r="J126" i="13"/>
  <c r="N126" i="13"/>
  <c r="O80" i="13"/>
  <c r="K80" i="13"/>
  <c r="N80" i="13"/>
  <c r="J80" i="13"/>
  <c r="K93" i="7"/>
  <c r="M93" i="7"/>
  <c r="C22" i="11" l="1"/>
  <c r="B2" i="7"/>
  <c r="B3" i="7"/>
  <c r="B4" i="7"/>
  <c r="B5" i="7"/>
  <c r="B6" i="7"/>
  <c r="B7" i="7"/>
  <c r="B8" i="7"/>
  <c r="B9" i="7"/>
  <c r="B11" i="7"/>
  <c r="B10" i="7"/>
  <c r="B12" i="7"/>
  <c r="B15" i="7"/>
  <c r="B14" i="7"/>
  <c r="B13" i="7"/>
  <c r="K2" i="7"/>
  <c r="K4" i="7" l="1"/>
  <c r="P102" i="16" l="1"/>
  <c r="P109" i="16"/>
  <c r="T44" i="16" l="1"/>
  <c r="U44" i="16"/>
  <c r="T45" i="16"/>
  <c r="U45" i="16"/>
  <c r="T47" i="16"/>
  <c r="U47" i="16"/>
  <c r="T48" i="16"/>
  <c r="U48" i="16"/>
  <c r="T49" i="16"/>
  <c r="U49" i="16"/>
  <c r="T50" i="16"/>
  <c r="U50" i="16"/>
  <c r="T51" i="16"/>
  <c r="U51" i="16"/>
  <c r="T52" i="16"/>
  <c r="U52" i="16"/>
  <c r="T53" i="16"/>
  <c r="U53" i="16"/>
  <c r="T54" i="16"/>
  <c r="U54" i="16"/>
  <c r="T55" i="16"/>
  <c r="U55" i="16"/>
  <c r="T56" i="16"/>
  <c r="U56" i="16"/>
  <c r="T57" i="16"/>
  <c r="U57" i="16"/>
  <c r="T58" i="16"/>
  <c r="U58" i="16"/>
  <c r="T59" i="16"/>
  <c r="U59" i="16"/>
  <c r="T60" i="16"/>
  <c r="U60" i="16"/>
  <c r="T61" i="16"/>
  <c r="U61" i="16"/>
  <c r="T102" i="16"/>
  <c r="T104" i="16"/>
  <c r="T108" i="16"/>
  <c r="T109" i="16"/>
  <c r="T112" i="16"/>
  <c r="U112" i="16"/>
  <c r="P62" i="16"/>
  <c r="T62" i="16" s="1"/>
  <c r="P20" i="16"/>
  <c r="T20" i="16" s="1"/>
  <c r="Q20" i="16"/>
  <c r="U20" i="16" s="1"/>
  <c r="P21" i="16"/>
  <c r="T21" i="16" s="1"/>
  <c r="Q21" i="16"/>
  <c r="U21" i="16" s="1"/>
  <c r="P22" i="16"/>
  <c r="T22" i="16" s="1"/>
  <c r="Q22" i="16"/>
  <c r="U22" i="16" s="1"/>
  <c r="P23" i="16"/>
  <c r="T23" i="16" s="1"/>
  <c r="Q23" i="16"/>
  <c r="U23" i="16" s="1"/>
  <c r="P24" i="16"/>
  <c r="T24" i="16" s="1"/>
  <c r="Q24" i="16"/>
  <c r="U24" i="16" s="1"/>
  <c r="P25" i="16"/>
  <c r="T25" i="16" s="1"/>
  <c r="Q25" i="16"/>
  <c r="U25" i="16" s="1"/>
  <c r="P26" i="16"/>
  <c r="T26" i="16" s="1"/>
  <c r="Q26" i="16"/>
  <c r="U26" i="16" s="1"/>
  <c r="P27" i="16"/>
  <c r="T27" i="16" s="1"/>
  <c r="Q27" i="16"/>
  <c r="U27" i="16" s="1"/>
  <c r="P28" i="16"/>
  <c r="T28" i="16" s="1"/>
  <c r="Q28" i="16"/>
  <c r="U28" i="16" s="1"/>
  <c r="P29" i="16"/>
  <c r="T29" i="16" s="1"/>
  <c r="Q29" i="16"/>
  <c r="U29" i="16" s="1"/>
  <c r="P30" i="16"/>
  <c r="T30" i="16" s="1"/>
  <c r="Q30" i="16"/>
  <c r="U30" i="16" s="1"/>
  <c r="P31" i="16"/>
  <c r="T31" i="16" s="1"/>
  <c r="Q31" i="16"/>
  <c r="U31" i="16" s="1"/>
  <c r="P32" i="16"/>
  <c r="T32" i="16" s="1"/>
  <c r="Q32" i="16"/>
  <c r="U32" i="16" s="1"/>
  <c r="P33" i="16"/>
  <c r="T33" i="16" s="1"/>
  <c r="Q33" i="16"/>
  <c r="U33" i="16" s="1"/>
  <c r="P34" i="16"/>
  <c r="T34" i="16" s="1"/>
  <c r="Q34" i="16"/>
  <c r="U34" i="16" s="1"/>
  <c r="P35" i="16"/>
  <c r="T35" i="16" s="1"/>
  <c r="Q35" i="16"/>
  <c r="U35" i="16" s="1"/>
  <c r="P36" i="16"/>
  <c r="T36" i="16" s="1"/>
  <c r="Q36" i="16"/>
  <c r="U36" i="16" s="1"/>
  <c r="P37" i="16"/>
  <c r="T37" i="16" s="1"/>
  <c r="Q37" i="16"/>
  <c r="U37" i="16" s="1"/>
  <c r="P38" i="16"/>
  <c r="T38" i="16" s="1"/>
  <c r="Q38" i="16"/>
  <c r="U38" i="16" s="1"/>
  <c r="P39" i="16"/>
  <c r="T39" i="16" s="1"/>
  <c r="Q39" i="16"/>
  <c r="U39" i="16" s="1"/>
  <c r="P40" i="16"/>
  <c r="T40" i="16" s="1"/>
  <c r="Q40" i="16"/>
  <c r="U40" i="16" s="1"/>
  <c r="P41" i="16"/>
  <c r="T41" i="16" s="1"/>
  <c r="Q41" i="16"/>
  <c r="U41" i="16" s="1"/>
  <c r="P42" i="16"/>
  <c r="T42" i="16" s="1"/>
  <c r="Q42" i="16"/>
  <c r="U42" i="16" s="1"/>
  <c r="P43" i="16"/>
  <c r="T43" i="16" s="1"/>
  <c r="Q43" i="16"/>
  <c r="U43" i="16" s="1"/>
  <c r="P46" i="16"/>
  <c r="T46" i="16" s="1"/>
  <c r="Q46" i="16"/>
  <c r="U46" i="16" s="1"/>
  <c r="Q62" i="16"/>
  <c r="U62" i="16" s="1"/>
  <c r="P63" i="16"/>
  <c r="T63" i="16" s="1"/>
  <c r="Q63" i="16"/>
  <c r="U63" i="16" s="1"/>
  <c r="P64" i="16"/>
  <c r="T64" i="16" s="1"/>
  <c r="Q64" i="16"/>
  <c r="U64" i="16" s="1"/>
  <c r="P65" i="16"/>
  <c r="T65" i="16" s="1"/>
  <c r="Q65" i="16"/>
  <c r="U65" i="16" s="1"/>
  <c r="P66" i="16"/>
  <c r="T66" i="16" s="1"/>
  <c r="Q66" i="16"/>
  <c r="U66" i="16" s="1"/>
  <c r="P67" i="16"/>
  <c r="T67" i="16" s="1"/>
  <c r="Q67" i="16"/>
  <c r="U67" i="16" s="1"/>
  <c r="P68" i="16"/>
  <c r="T68" i="16" s="1"/>
  <c r="Q68" i="16"/>
  <c r="U68" i="16" s="1"/>
  <c r="P69" i="16"/>
  <c r="T69" i="16" s="1"/>
  <c r="Q69" i="16"/>
  <c r="U69" i="16" s="1"/>
  <c r="P70" i="16"/>
  <c r="T70" i="16" s="1"/>
  <c r="Q70" i="16"/>
  <c r="U70" i="16" s="1"/>
  <c r="P71" i="16"/>
  <c r="T71" i="16" s="1"/>
  <c r="Q71" i="16"/>
  <c r="U71" i="16" s="1"/>
  <c r="P72" i="16"/>
  <c r="T72" i="16" s="1"/>
  <c r="Q72" i="16"/>
  <c r="U72" i="16" s="1"/>
  <c r="P73" i="16"/>
  <c r="T73" i="16" s="1"/>
  <c r="Q73" i="16"/>
  <c r="U73" i="16" s="1"/>
  <c r="P74" i="16"/>
  <c r="T74" i="16" s="1"/>
  <c r="Q74" i="16"/>
  <c r="U74" i="16" s="1"/>
  <c r="P75" i="16"/>
  <c r="T75" i="16" s="1"/>
  <c r="Q75" i="16"/>
  <c r="U75" i="16" s="1"/>
  <c r="P76" i="16"/>
  <c r="T76" i="16" s="1"/>
  <c r="Q76" i="16"/>
  <c r="U76" i="16" s="1"/>
  <c r="P77" i="16"/>
  <c r="T77" i="16" s="1"/>
  <c r="Q77" i="16"/>
  <c r="U77" i="16" s="1"/>
  <c r="P78" i="16"/>
  <c r="T78" i="16" s="1"/>
  <c r="Q78" i="16"/>
  <c r="U78" i="16" s="1"/>
  <c r="P79" i="16"/>
  <c r="T79" i="16" s="1"/>
  <c r="Q79" i="16"/>
  <c r="U79" i="16" s="1"/>
  <c r="P80" i="16"/>
  <c r="T80" i="16" s="1"/>
  <c r="Q80" i="16"/>
  <c r="U80" i="16" s="1"/>
  <c r="P81" i="16"/>
  <c r="T81" i="16" s="1"/>
  <c r="Q81" i="16"/>
  <c r="U81" i="16" s="1"/>
  <c r="P82" i="16"/>
  <c r="T82" i="16" s="1"/>
  <c r="Q82" i="16"/>
  <c r="U82" i="16" s="1"/>
  <c r="P83" i="16"/>
  <c r="T83" i="16" s="1"/>
  <c r="Q83" i="16"/>
  <c r="U83" i="16" s="1"/>
  <c r="P84" i="16"/>
  <c r="T84" i="16" s="1"/>
  <c r="Q84" i="16"/>
  <c r="U84" i="16" s="1"/>
  <c r="P85" i="16"/>
  <c r="T85" i="16" s="1"/>
  <c r="Q85" i="16"/>
  <c r="U85" i="16" s="1"/>
  <c r="P86" i="16"/>
  <c r="T86" i="16" s="1"/>
  <c r="Q86" i="16"/>
  <c r="U86" i="16" s="1"/>
  <c r="P87" i="16"/>
  <c r="T87" i="16" s="1"/>
  <c r="Q87" i="16"/>
  <c r="U87" i="16" s="1"/>
  <c r="P88" i="16"/>
  <c r="T88" i="16" s="1"/>
  <c r="Q88" i="16"/>
  <c r="U88" i="16" s="1"/>
  <c r="P89" i="16"/>
  <c r="T89" i="16" s="1"/>
  <c r="Q89" i="16"/>
  <c r="U89" i="16" s="1"/>
  <c r="P90" i="16"/>
  <c r="T90" i="16" s="1"/>
  <c r="Q90" i="16"/>
  <c r="U90" i="16" s="1"/>
  <c r="P91" i="16"/>
  <c r="T91" i="16" s="1"/>
  <c r="Q91" i="16"/>
  <c r="U91" i="16" s="1"/>
  <c r="P92" i="16"/>
  <c r="T92" i="16" s="1"/>
  <c r="Q92" i="16"/>
  <c r="U92" i="16" s="1"/>
  <c r="P93" i="16"/>
  <c r="T93" i="16" s="1"/>
  <c r="Q93" i="16"/>
  <c r="U93" i="16" s="1"/>
  <c r="P94" i="16"/>
  <c r="T94" i="16" s="1"/>
  <c r="Q94" i="16"/>
  <c r="U94" i="16" s="1"/>
  <c r="P95" i="16"/>
  <c r="T95" i="16" s="1"/>
  <c r="Q95" i="16"/>
  <c r="U95" i="16" s="1"/>
  <c r="P96" i="16"/>
  <c r="T96" i="16" s="1"/>
  <c r="Q96" i="16"/>
  <c r="U96" i="16" s="1"/>
  <c r="P97" i="16"/>
  <c r="T97" i="16" s="1"/>
  <c r="Q97" i="16"/>
  <c r="U97" i="16" s="1"/>
  <c r="P98" i="16"/>
  <c r="T98" i="16" s="1"/>
  <c r="Q98" i="16"/>
  <c r="U98" i="16" s="1"/>
  <c r="P99" i="16"/>
  <c r="T99" i="16" s="1"/>
  <c r="Q99" i="16"/>
  <c r="U99" i="16" s="1"/>
  <c r="P100" i="16"/>
  <c r="T100" i="16" s="1"/>
  <c r="Q100" i="16"/>
  <c r="U100" i="16" s="1"/>
  <c r="P101" i="16"/>
  <c r="T101" i="16" s="1"/>
  <c r="Q101" i="16"/>
  <c r="U101" i="16" s="1"/>
  <c r="Q102" i="16"/>
  <c r="U102" i="16" s="1"/>
  <c r="P103" i="16"/>
  <c r="T103" i="16" s="1"/>
  <c r="Q103" i="16"/>
  <c r="U103" i="16" s="1"/>
  <c r="P104" i="16"/>
  <c r="Q104" i="16"/>
  <c r="U104" i="16" s="1"/>
  <c r="P105" i="16"/>
  <c r="T105" i="16" s="1"/>
  <c r="Q105" i="16"/>
  <c r="U105" i="16" s="1"/>
  <c r="P106" i="16"/>
  <c r="T106" i="16" s="1"/>
  <c r="Q106" i="16"/>
  <c r="U106" i="16" s="1"/>
  <c r="P107" i="16"/>
  <c r="T107" i="16" s="1"/>
  <c r="Q107" i="16"/>
  <c r="U107" i="16" s="1"/>
  <c r="P108" i="16"/>
  <c r="Q108" i="16"/>
  <c r="U108" i="16" s="1"/>
  <c r="Q109" i="16"/>
  <c r="U109" i="16" s="1"/>
  <c r="P110" i="16"/>
  <c r="T110" i="16" s="1"/>
  <c r="Q110" i="16"/>
  <c r="U110" i="16" s="1"/>
  <c r="P111" i="16"/>
  <c r="T111" i="16" s="1"/>
  <c r="Q111" i="16"/>
  <c r="U111" i="16" s="1"/>
  <c r="P113" i="16"/>
  <c r="T113" i="16" s="1"/>
  <c r="Q113" i="16"/>
  <c r="U113" i="16" s="1"/>
  <c r="P114" i="16"/>
  <c r="T114" i="16" s="1"/>
  <c r="Q114" i="16"/>
  <c r="U114" i="16" s="1"/>
  <c r="P115" i="16"/>
  <c r="T115" i="16" s="1"/>
  <c r="Q115" i="16"/>
  <c r="U115" i="16" s="1"/>
  <c r="P116" i="16"/>
  <c r="T116" i="16" s="1"/>
  <c r="Q116" i="16"/>
  <c r="U116" i="16" s="1"/>
  <c r="P18" i="16"/>
  <c r="T18" i="16" s="1"/>
  <c r="P4" i="16"/>
  <c r="T4" i="16" s="1"/>
  <c r="Q4" i="16"/>
  <c r="U4" i="16" s="1"/>
  <c r="P5" i="16"/>
  <c r="T5" i="16" s="1"/>
  <c r="Q5" i="16"/>
  <c r="U5" i="16" s="1"/>
  <c r="P6" i="16"/>
  <c r="T6" i="16" s="1"/>
  <c r="Q6" i="16"/>
  <c r="U6" i="16" s="1"/>
  <c r="P7" i="16"/>
  <c r="T7" i="16" s="1"/>
  <c r="Q7" i="16"/>
  <c r="U7" i="16" s="1"/>
  <c r="P8" i="16"/>
  <c r="T8" i="16" s="1"/>
  <c r="Q8" i="16"/>
  <c r="U8" i="16" s="1"/>
  <c r="P9" i="16"/>
  <c r="T9" i="16" s="1"/>
  <c r="Q9" i="16"/>
  <c r="U9" i="16" s="1"/>
  <c r="P10" i="16"/>
  <c r="T10" i="16" s="1"/>
  <c r="Q10" i="16"/>
  <c r="U10" i="16" s="1"/>
  <c r="P11" i="16"/>
  <c r="T11" i="16" s="1"/>
  <c r="Q11" i="16"/>
  <c r="U11" i="16" s="1"/>
  <c r="P12" i="16"/>
  <c r="T12" i="16" s="1"/>
  <c r="Q12" i="16"/>
  <c r="U12" i="16" s="1"/>
  <c r="P13" i="16"/>
  <c r="T13" i="16" s="1"/>
  <c r="Q13" i="16"/>
  <c r="U13" i="16" s="1"/>
  <c r="P14" i="16"/>
  <c r="T14" i="16" s="1"/>
  <c r="Q14" i="16"/>
  <c r="U14" i="16" s="1"/>
  <c r="P15" i="16"/>
  <c r="T15" i="16" s="1"/>
  <c r="Q15" i="16"/>
  <c r="U15" i="16" s="1"/>
  <c r="P16" i="16"/>
  <c r="T16" i="16" s="1"/>
  <c r="Q16" i="16"/>
  <c r="U16" i="16" s="1"/>
  <c r="P17" i="16"/>
  <c r="T17" i="16" s="1"/>
  <c r="Q17" i="16"/>
  <c r="U17" i="16" s="1"/>
  <c r="Q18" i="16"/>
  <c r="U18" i="16" s="1"/>
  <c r="P19" i="16"/>
  <c r="T19" i="16" s="1"/>
  <c r="Q19" i="16"/>
  <c r="U19" i="16" s="1"/>
  <c r="Q3" i="16"/>
  <c r="U3" i="16" s="1"/>
  <c r="P3" i="16"/>
  <c r="T3" i="16" s="1"/>
  <c r="O3" i="16"/>
  <c r="S3" i="16" s="1"/>
  <c r="O6" i="16"/>
  <c r="K57" i="13" l="1"/>
  <c r="C103" i="13"/>
  <c r="C101" i="13"/>
  <c r="L101" i="13" s="1"/>
  <c r="V28" i="7"/>
  <c r="X31" i="7"/>
  <c r="K106" i="7"/>
  <c r="AA33" i="7"/>
  <c r="N116" i="16"/>
  <c r="R116" i="16" s="1"/>
  <c r="O116" i="16"/>
  <c r="S116" i="16" s="1"/>
  <c r="N3" i="16"/>
  <c r="R3" i="16" s="1"/>
  <c r="V3" i="16" s="1"/>
  <c r="N4" i="16"/>
  <c r="R4" i="16" s="1"/>
  <c r="O4" i="16"/>
  <c r="S4" i="16" s="1"/>
  <c r="N5" i="16"/>
  <c r="R5" i="16" s="1"/>
  <c r="O5" i="16"/>
  <c r="S5" i="16" s="1"/>
  <c r="N6" i="16"/>
  <c r="R6" i="16" s="1"/>
  <c r="S6" i="16"/>
  <c r="N7" i="16"/>
  <c r="R7" i="16" s="1"/>
  <c r="O7" i="16"/>
  <c r="S7" i="16" s="1"/>
  <c r="N8" i="16"/>
  <c r="R8" i="16" s="1"/>
  <c r="O8" i="16"/>
  <c r="S8" i="16" s="1"/>
  <c r="N9" i="16"/>
  <c r="R9" i="16" s="1"/>
  <c r="O9" i="16"/>
  <c r="S9" i="16" s="1"/>
  <c r="N10" i="16"/>
  <c r="R10" i="16" s="1"/>
  <c r="O10" i="16"/>
  <c r="S10" i="16" s="1"/>
  <c r="N11" i="16"/>
  <c r="R11" i="16" s="1"/>
  <c r="O11" i="16"/>
  <c r="S11" i="16" s="1"/>
  <c r="N12" i="16"/>
  <c r="R12" i="16" s="1"/>
  <c r="O12" i="16"/>
  <c r="S12" i="16" s="1"/>
  <c r="N13" i="16"/>
  <c r="R13" i="16" s="1"/>
  <c r="O13" i="16"/>
  <c r="S13" i="16" s="1"/>
  <c r="N14" i="16"/>
  <c r="R14" i="16" s="1"/>
  <c r="O14" i="16"/>
  <c r="S14" i="16" s="1"/>
  <c r="N15" i="16"/>
  <c r="R15" i="16" s="1"/>
  <c r="O15" i="16"/>
  <c r="S15" i="16" s="1"/>
  <c r="N16" i="16"/>
  <c r="R16" i="16" s="1"/>
  <c r="O16" i="16"/>
  <c r="S16" i="16" s="1"/>
  <c r="N17" i="16"/>
  <c r="R17" i="16" s="1"/>
  <c r="O17" i="16"/>
  <c r="S17" i="16" s="1"/>
  <c r="N18" i="16"/>
  <c r="R18" i="16" s="1"/>
  <c r="O18" i="16"/>
  <c r="S18" i="16" s="1"/>
  <c r="N19" i="16"/>
  <c r="R19" i="16" s="1"/>
  <c r="O19" i="16"/>
  <c r="S19" i="16" s="1"/>
  <c r="N20" i="16"/>
  <c r="R20" i="16" s="1"/>
  <c r="O20" i="16"/>
  <c r="S20" i="16" s="1"/>
  <c r="N21" i="16"/>
  <c r="R21" i="16"/>
  <c r="O21" i="16"/>
  <c r="S21" i="16" s="1"/>
  <c r="N22" i="16"/>
  <c r="R22" i="16" s="1"/>
  <c r="O22" i="16"/>
  <c r="S22" i="16" s="1"/>
  <c r="N23" i="16"/>
  <c r="R23" i="16" s="1"/>
  <c r="O23" i="16"/>
  <c r="S23" i="16" s="1"/>
  <c r="N24" i="16"/>
  <c r="R24" i="16" s="1"/>
  <c r="O24" i="16"/>
  <c r="S24" i="16" s="1"/>
  <c r="N25" i="16"/>
  <c r="R25" i="16" s="1"/>
  <c r="O25" i="16"/>
  <c r="S25" i="16" s="1"/>
  <c r="N26" i="16"/>
  <c r="R26" i="16" s="1"/>
  <c r="O26" i="16"/>
  <c r="S26" i="16" s="1"/>
  <c r="N27" i="16"/>
  <c r="R27" i="16" s="1"/>
  <c r="O27" i="16"/>
  <c r="S27" i="16" s="1"/>
  <c r="N28" i="16"/>
  <c r="R28" i="16" s="1"/>
  <c r="O28" i="16"/>
  <c r="S28" i="16" s="1"/>
  <c r="N29" i="16"/>
  <c r="R29" i="16" s="1"/>
  <c r="O29" i="16"/>
  <c r="S29" i="16" s="1"/>
  <c r="N30" i="16"/>
  <c r="R30" i="16" s="1"/>
  <c r="O30" i="16"/>
  <c r="S30" i="16" s="1"/>
  <c r="N31" i="16"/>
  <c r="R31" i="16" s="1"/>
  <c r="O31" i="16"/>
  <c r="S31" i="16" s="1"/>
  <c r="N32" i="16"/>
  <c r="R32" i="16" s="1"/>
  <c r="O32" i="16"/>
  <c r="S32" i="16" s="1"/>
  <c r="N33" i="16"/>
  <c r="R33" i="16" s="1"/>
  <c r="O33" i="16"/>
  <c r="S33" i="16" s="1"/>
  <c r="N34" i="16"/>
  <c r="R34" i="16" s="1"/>
  <c r="O34" i="16"/>
  <c r="S34" i="16" s="1"/>
  <c r="N35" i="16"/>
  <c r="R35" i="16" s="1"/>
  <c r="O35" i="16"/>
  <c r="S35" i="16" s="1"/>
  <c r="N36" i="16"/>
  <c r="R36" i="16" s="1"/>
  <c r="O36" i="16"/>
  <c r="S36" i="16" s="1"/>
  <c r="N37" i="16"/>
  <c r="R37" i="16" s="1"/>
  <c r="O37" i="16"/>
  <c r="S37" i="16" s="1"/>
  <c r="N38" i="16"/>
  <c r="R38" i="16" s="1"/>
  <c r="O38" i="16"/>
  <c r="S38" i="16" s="1"/>
  <c r="N39" i="16"/>
  <c r="R39" i="16" s="1"/>
  <c r="O39" i="16"/>
  <c r="S39" i="16" s="1"/>
  <c r="N40" i="16"/>
  <c r="R40" i="16" s="1"/>
  <c r="O40" i="16"/>
  <c r="S40" i="16" s="1"/>
  <c r="N41" i="16"/>
  <c r="R41" i="16" s="1"/>
  <c r="O41" i="16"/>
  <c r="S41" i="16" s="1"/>
  <c r="N42" i="16"/>
  <c r="R42" i="16" s="1"/>
  <c r="O42" i="16"/>
  <c r="S42" i="16" s="1"/>
  <c r="N43" i="16"/>
  <c r="R43" i="16" s="1"/>
  <c r="O43" i="16"/>
  <c r="S43" i="16" s="1"/>
  <c r="N44" i="16"/>
  <c r="R44" i="16" s="1"/>
  <c r="O44" i="16"/>
  <c r="S44" i="16" s="1"/>
  <c r="N45" i="16"/>
  <c r="R45" i="16" s="1"/>
  <c r="O45" i="16"/>
  <c r="S45" i="16" s="1"/>
  <c r="N46" i="16"/>
  <c r="R46" i="16" s="1"/>
  <c r="O46" i="16"/>
  <c r="S46" i="16" s="1"/>
  <c r="N47" i="16"/>
  <c r="R47" i="16" s="1"/>
  <c r="O47" i="16"/>
  <c r="S47" i="16" s="1"/>
  <c r="N48" i="16"/>
  <c r="R48" i="16"/>
  <c r="O48" i="16"/>
  <c r="S48" i="16" s="1"/>
  <c r="N49" i="16"/>
  <c r="R49" i="16" s="1"/>
  <c r="O49" i="16"/>
  <c r="S49" i="16" s="1"/>
  <c r="N50" i="16"/>
  <c r="R50" i="16" s="1"/>
  <c r="O50" i="16"/>
  <c r="S50" i="16" s="1"/>
  <c r="N51" i="16"/>
  <c r="R51" i="16" s="1"/>
  <c r="O51" i="16"/>
  <c r="S51" i="16" s="1"/>
  <c r="N52" i="16"/>
  <c r="R52" i="16" s="1"/>
  <c r="O52" i="16"/>
  <c r="S52" i="16" s="1"/>
  <c r="N53" i="16"/>
  <c r="R53" i="16" s="1"/>
  <c r="O53" i="16"/>
  <c r="S53" i="16" s="1"/>
  <c r="N54" i="16"/>
  <c r="R54" i="16" s="1"/>
  <c r="O54" i="16"/>
  <c r="S54" i="16" s="1"/>
  <c r="N55" i="16"/>
  <c r="R55" i="16" s="1"/>
  <c r="O55" i="16"/>
  <c r="S55" i="16" s="1"/>
  <c r="N56" i="16"/>
  <c r="R56" i="16" s="1"/>
  <c r="O56" i="16"/>
  <c r="S56" i="16" s="1"/>
  <c r="N57" i="16"/>
  <c r="R57" i="16" s="1"/>
  <c r="O57" i="16"/>
  <c r="S57" i="16" s="1"/>
  <c r="N58" i="16"/>
  <c r="R58" i="16" s="1"/>
  <c r="O58" i="16"/>
  <c r="S58" i="16" s="1"/>
  <c r="N59" i="16"/>
  <c r="R59" i="16" s="1"/>
  <c r="O59" i="16"/>
  <c r="S59" i="16" s="1"/>
  <c r="N60" i="16"/>
  <c r="R60" i="16" s="1"/>
  <c r="O60" i="16"/>
  <c r="S60" i="16" s="1"/>
  <c r="N61" i="16"/>
  <c r="R61" i="16" s="1"/>
  <c r="O61" i="16"/>
  <c r="S61" i="16" s="1"/>
  <c r="N62" i="16"/>
  <c r="R62" i="16" s="1"/>
  <c r="V62" i="16" s="1"/>
  <c r="N63" i="16"/>
  <c r="R63" i="16" s="1"/>
  <c r="V63" i="16" s="1"/>
  <c r="N64" i="16"/>
  <c r="R64" i="16" s="1"/>
  <c r="V64" i="16" s="1"/>
  <c r="N65" i="16"/>
  <c r="R65" i="16" s="1"/>
  <c r="V65" i="16" s="1"/>
  <c r="N66" i="16"/>
  <c r="R66" i="16" s="1"/>
  <c r="V66" i="16" s="1"/>
  <c r="N67" i="16"/>
  <c r="R67" i="16" s="1"/>
  <c r="V67" i="16" s="1"/>
  <c r="N68" i="16"/>
  <c r="R68" i="16" s="1"/>
  <c r="V68" i="16" s="1"/>
  <c r="N69" i="16"/>
  <c r="R69" i="16" s="1"/>
  <c r="V69" i="16" s="1"/>
  <c r="N70" i="16"/>
  <c r="R70" i="16" s="1"/>
  <c r="V70" i="16" s="1"/>
  <c r="N71" i="16"/>
  <c r="R71" i="16" s="1"/>
  <c r="V71" i="16" s="1"/>
  <c r="N72" i="16"/>
  <c r="R72" i="16" s="1"/>
  <c r="V72" i="16" s="1"/>
  <c r="N73" i="16"/>
  <c r="R73" i="16" s="1"/>
  <c r="V73" i="16" s="1"/>
  <c r="N74" i="16"/>
  <c r="R74" i="16" s="1"/>
  <c r="V74" i="16" s="1"/>
  <c r="N75" i="16"/>
  <c r="R75" i="16" s="1"/>
  <c r="V75" i="16" s="1"/>
  <c r="N76" i="16"/>
  <c r="R76" i="16" s="1"/>
  <c r="V76" i="16" s="1"/>
  <c r="N77" i="16"/>
  <c r="R77" i="16" s="1"/>
  <c r="V77" i="16" s="1"/>
  <c r="N78" i="16"/>
  <c r="R78" i="16" s="1"/>
  <c r="V78" i="16" s="1"/>
  <c r="N79" i="16"/>
  <c r="R79" i="16" s="1"/>
  <c r="V79" i="16" s="1"/>
  <c r="N80" i="16"/>
  <c r="R80" i="16" s="1"/>
  <c r="V80" i="16" s="1"/>
  <c r="N81" i="16"/>
  <c r="R81" i="16" s="1"/>
  <c r="V81" i="16" s="1"/>
  <c r="N82" i="16"/>
  <c r="R82" i="16" s="1"/>
  <c r="V82" i="16" s="1"/>
  <c r="N83" i="16"/>
  <c r="R83" i="16" s="1"/>
  <c r="V83" i="16" s="1"/>
  <c r="N84" i="16"/>
  <c r="R84" i="16" s="1"/>
  <c r="V84" i="16" s="1"/>
  <c r="N85" i="16"/>
  <c r="R85" i="16" s="1"/>
  <c r="V85" i="16" s="1"/>
  <c r="N86" i="16"/>
  <c r="R86" i="16" s="1"/>
  <c r="V86" i="16" s="1"/>
  <c r="N87" i="16"/>
  <c r="R87" i="16" s="1"/>
  <c r="V87" i="16" s="1"/>
  <c r="N88" i="16"/>
  <c r="R88" i="16" s="1"/>
  <c r="V88" i="16" s="1"/>
  <c r="N89" i="16"/>
  <c r="R89" i="16" s="1"/>
  <c r="V89" i="16" s="1"/>
  <c r="N90" i="16"/>
  <c r="R90" i="16" s="1"/>
  <c r="V90" i="16" s="1"/>
  <c r="N91" i="16"/>
  <c r="R91" i="16" s="1"/>
  <c r="V91" i="16" s="1"/>
  <c r="N92" i="16"/>
  <c r="R92" i="16" s="1"/>
  <c r="V92" i="16" s="1"/>
  <c r="N93" i="16"/>
  <c r="R93" i="16" s="1"/>
  <c r="V93" i="16" s="1"/>
  <c r="N94" i="16"/>
  <c r="R94" i="16" s="1"/>
  <c r="V94" i="16" s="1"/>
  <c r="N95" i="16"/>
  <c r="R95" i="16" s="1"/>
  <c r="V95" i="16" s="1"/>
  <c r="N96" i="16"/>
  <c r="R96" i="16" s="1"/>
  <c r="V96" i="16" s="1"/>
  <c r="N97" i="16"/>
  <c r="R97" i="16" s="1"/>
  <c r="V97" i="16" s="1"/>
  <c r="N98" i="16"/>
  <c r="R98" i="16" s="1"/>
  <c r="V98" i="16" s="1"/>
  <c r="N99" i="16"/>
  <c r="R99" i="16" s="1"/>
  <c r="V99" i="16" s="1"/>
  <c r="N100" i="16"/>
  <c r="R100" i="16" s="1"/>
  <c r="V100" i="16" s="1"/>
  <c r="N101" i="16"/>
  <c r="R101" i="16" s="1"/>
  <c r="V101" i="16" s="1"/>
  <c r="N102" i="16"/>
  <c r="R102" i="16" s="1"/>
  <c r="V102" i="16" s="1"/>
  <c r="N103" i="16"/>
  <c r="R103" i="16" s="1"/>
  <c r="V103" i="16" s="1"/>
  <c r="N104" i="16"/>
  <c r="R104" i="16" s="1"/>
  <c r="V104" i="16" s="1"/>
  <c r="N105" i="16"/>
  <c r="R105" i="16" s="1"/>
  <c r="V105" i="16" s="1"/>
  <c r="N106" i="16"/>
  <c r="R106" i="16" s="1"/>
  <c r="V106" i="16" s="1"/>
  <c r="N107" i="16"/>
  <c r="R107" i="16" s="1"/>
  <c r="V107" i="16" s="1"/>
  <c r="N108" i="16"/>
  <c r="R108" i="16" s="1"/>
  <c r="V108" i="16" s="1"/>
  <c r="N109" i="16"/>
  <c r="R109" i="16" s="1"/>
  <c r="V109" i="16" s="1"/>
  <c r="N110" i="16"/>
  <c r="R110" i="16" s="1"/>
  <c r="O110" i="16"/>
  <c r="S110" i="16" s="1"/>
  <c r="N111" i="16"/>
  <c r="R111" i="16" s="1"/>
  <c r="V111" i="16" s="1"/>
  <c r="N112" i="16"/>
  <c r="R112" i="16" s="1"/>
  <c r="O112" i="16"/>
  <c r="S112" i="16" s="1"/>
  <c r="N113" i="16"/>
  <c r="R113" i="16" s="1"/>
  <c r="V113" i="16" s="1"/>
  <c r="N114" i="16"/>
  <c r="R114" i="16" s="1"/>
  <c r="O114" i="16"/>
  <c r="S114" i="16" s="1"/>
  <c r="N115" i="16"/>
  <c r="R115" i="16" s="1"/>
  <c r="O115" i="16"/>
  <c r="S115" i="16" s="1"/>
  <c r="O62" i="16"/>
  <c r="S62" i="16" s="1"/>
  <c r="O63" i="16"/>
  <c r="S63" i="16" s="1"/>
  <c r="O64" i="16"/>
  <c r="S64" i="16" s="1"/>
  <c r="O65" i="16"/>
  <c r="S65" i="16" s="1"/>
  <c r="O66" i="16"/>
  <c r="S66" i="16" s="1"/>
  <c r="O67" i="16"/>
  <c r="S67" i="16" s="1"/>
  <c r="O68" i="16"/>
  <c r="S68" i="16" s="1"/>
  <c r="O69" i="16"/>
  <c r="S69" i="16" s="1"/>
  <c r="O70" i="16"/>
  <c r="S70" i="16" s="1"/>
  <c r="O71" i="16"/>
  <c r="S71" i="16" s="1"/>
  <c r="O72" i="16"/>
  <c r="S72" i="16" s="1"/>
  <c r="O73" i="16"/>
  <c r="S73" i="16" s="1"/>
  <c r="O74" i="16"/>
  <c r="S74" i="16" s="1"/>
  <c r="O75" i="16"/>
  <c r="S75" i="16" s="1"/>
  <c r="O76" i="16"/>
  <c r="S76" i="16" s="1"/>
  <c r="O77" i="16"/>
  <c r="S77" i="16" s="1"/>
  <c r="O78" i="16"/>
  <c r="S78" i="16" s="1"/>
  <c r="O79" i="16"/>
  <c r="S79" i="16" s="1"/>
  <c r="O80" i="16"/>
  <c r="S80" i="16" s="1"/>
  <c r="O81" i="16"/>
  <c r="S81" i="16" s="1"/>
  <c r="O82" i="16"/>
  <c r="S82" i="16" s="1"/>
  <c r="O83" i="16"/>
  <c r="S83" i="16" s="1"/>
  <c r="O84" i="16"/>
  <c r="S84" i="16" s="1"/>
  <c r="O85" i="16"/>
  <c r="S85" i="16" s="1"/>
  <c r="O86" i="16"/>
  <c r="S86" i="16" s="1"/>
  <c r="O87" i="16"/>
  <c r="S87" i="16" s="1"/>
  <c r="O88" i="16"/>
  <c r="S88" i="16" s="1"/>
  <c r="O89" i="16"/>
  <c r="S89" i="16" s="1"/>
  <c r="O90" i="16"/>
  <c r="S90" i="16" s="1"/>
  <c r="O91" i="16"/>
  <c r="S91" i="16" s="1"/>
  <c r="O92" i="16"/>
  <c r="S92" i="16" s="1"/>
  <c r="O93" i="16"/>
  <c r="S93" i="16" s="1"/>
  <c r="O94" i="16"/>
  <c r="S94" i="16" s="1"/>
  <c r="O95" i="16"/>
  <c r="S95" i="16" s="1"/>
  <c r="O96" i="16"/>
  <c r="S96" i="16" s="1"/>
  <c r="O97" i="16"/>
  <c r="S97" i="16" s="1"/>
  <c r="O98" i="16"/>
  <c r="S98" i="16" s="1"/>
  <c r="O99" i="16"/>
  <c r="S99" i="16" s="1"/>
  <c r="O100" i="16"/>
  <c r="S100" i="16" s="1"/>
  <c r="O101" i="16"/>
  <c r="S101" i="16" s="1"/>
  <c r="O102" i="16"/>
  <c r="S102" i="16" s="1"/>
  <c r="O103" i="16"/>
  <c r="S103" i="16" s="1"/>
  <c r="O104" i="16"/>
  <c r="S104" i="16" s="1"/>
  <c r="O105" i="16"/>
  <c r="S105" i="16" s="1"/>
  <c r="O106" i="16"/>
  <c r="S106" i="16" s="1"/>
  <c r="O107" i="16"/>
  <c r="S107" i="16" s="1"/>
  <c r="O108" i="16"/>
  <c r="S108" i="16" s="1"/>
  <c r="O109" i="16"/>
  <c r="S109" i="16" s="1"/>
  <c r="O111" i="16"/>
  <c r="S111" i="16" s="1"/>
  <c r="O113" i="16"/>
  <c r="S113" i="16" s="1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" i="15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B21" i="16"/>
  <c r="F20" i="16"/>
  <c r="B20" i="16"/>
  <c r="F19" i="16"/>
  <c r="B19" i="16"/>
  <c r="F18" i="16"/>
  <c r="B18" i="16"/>
  <c r="F17" i="16"/>
  <c r="B17" i="16"/>
  <c r="F16" i="16"/>
  <c r="B16" i="16"/>
  <c r="F15" i="16"/>
  <c r="B15" i="16"/>
  <c r="F14" i="16"/>
  <c r="B14" i="16"/>
  <c r="F13" i="16"/>
  <c r="B13" i="16"/>
  <c r="F12" i="16"/>
  <c r="B12" i="16"/>
  <c r="F11" i="16"/>
  <c r="B11" i="16"/>
  <c r="F10" i="16"/>
  <c r="B10" i="16"/>
  <c r="F9" i="16"/>
  <c r="B9" i="16"/>
  <c r="F8" i="16"/>
  <c r="B8" i="16"/>
  <c r="F7" i="16"/>
  <c r="B7" i="16"/>
  <c r="F6" i="16"/>
  <c r="B6" i="16"/>
  <c r="F5" i="16"/>
  <c r="B5" i="16"/>
  <c r="F4" i="16"/>
  <c r="B4" i="16"/>
  <c r="F3" i="16"/>
  <c r="B3" i="16"/>
  <c r="F2" i="16"/>
  <c r="B2" i="16"/>
  <c r="D128" i="13"/>
  <c r="D96" i="13"/>
  <c r="D97" i="13"/>
  <c r="Q97" i="13" s="1"/>
  <c r="D98" i="13"/>
  <c r="Q98" i="13" s="1"/>
  <c r="D99" i="13"/>
  <c r="Q99" i="13" s="1"/>
  <c r="D100" i="13"/>
  <c r="D101" i="13"/>
  <c r="Q101" i="13" s="1"/>
  <c r="D102" i="13"/>
  <c r="Q102" i="13" s="1"/>
  <c r="D103" i="13"/>
  <c r="D104" i="13"/>
  <c r="D105" i="13"/>
  <c r="M105" i="13" s="1"/>
  <c r="D106" i="13"/>
  <c r="M106" i="13" s="1"/>
  <c r="D107" i="13"/>
  <c r="D108" i="13"/>
  <c r="D109" i="13"/>
  <c r="M109" i="13" s="1"/>
  <c r="D110" i="13"/>
  <c r="D111" i="13"/>
  <c r="D112" i="13"/>
  <c r="D113" i="13"/>
  <c r="M113" i="13" s="1"/>
  <c r="D114" i="13"/>
  <c r="M114" i="13" s="1"/>
  <c r="D115" i="13"/>
  <c r="Q115" i="13" s="1"/>
  <c r="D116" i="13"/>
  <c r="D117" i="13"/>
  <c r="M117" i="13" s="1"/>
  <c r="D118" i="13"/>
  <c r="D119" i="13"/>
  <c r="D120" i="13"/>
  <c r="Q120" i="13" s="1"/>
  <c r="D121" i="13"/>
  <c r="Q121" i="13" s="1"/>
  <c r="D122" i="13"/>
  <c r="D123" i="13"/>
  <c r="D124" i="13"/>
  <c r="D125" i="13"/>
  <c r="M125" i="13" s="1"/>
  <c r="D127" i="13"/>
  <c r="D129" i="13"/>
  <c r="Q129" i="13" s="1"/>
  <c r="D130" i="13"/>
  <c r="Q130" i="13" s="1"/>
  <c r="D131" i="13"/>
  <c r="M131" i="13" s="1"/>
  <c r="D132" i="13"/>
  <c r="D133" i="13"/>
  <c r="O88" i="13"/>
  <c r="D134" i="13"/>
  <c r="D135" i="13"/>
  <c r="Q135" i="13" s="1"/>
  <c r="D136" i="13"/>
  <c r="J48" i="13"/>
  <c r="D95" i="13"/>
  <c r="M50" i="13"/>
  <c r="Q50" i="13"/>
  <c r="M51" i="13"/>
  <c r="Q51" i="13"/>
  <c r="M52" i="13"/>
  <c r="Q52" i="13"/>
  <c r="M53" i="13"/>
  <c r="Q53" i="13"/>
  <c r="A100" i="13"/>
  <c r="M54" i="13"/>
  <c r="Q54" i="13"/>
  <c r="M55" i="13"/>
  <c r="N55" i="13"/>
  <c r="Q55" i="13"/>
  <c r="M56" i="13"/>
  <c r="Q56" i="13"/>
  <c r="M57" i="13"/>
  <c r="Q57" i="13"/>
  <c r="J58" i="13"/>
  <c r="M58" i="13"/>
  <c r="Q58" i="13"/>
  <c r="M59" i="13"/>
  <c r="J59" i="13"/>
  <c r="Q59" i="13"/>
  <c r="O60" i="13"/>
  <c r="M60" i="13"/>
  <c r="Q60" i="13"/>
  <c r="M61" i="13"/>
  <c r="Q61" i="13"/>
  <c r="N62" i="13"/>
  <c r="M62" i="13"/>
  <c r="Q62" i="13"/>
  <c r="M63" i="13"/>
  <c r="A109" i="13"/>
  <c r="Q63" i="13"/>
  <c r="M64" i="13"/>
  <c r="Q64" i="13"/>
  <c r="M65" i="13"/>
  <c r="Q65" i="13"/>
  <c r="J66" i="13"/>
  <c r="M66" i="13"/>
  <c r="Q66" i="13"/>
  <c r="M67" i="13"/>
  <c r="N67" i="13"/>
  <c r="Q67" i="13"/>
  <c r="O68" i="13"/>
  <c r="M68" i="13"/>
  <c r="Q68" i="13"/>
  <c r="M69" i="13"/>
  <c r="Q69" i="13"/>
  <c r="N70" i="13"/>
  <c r="M70" i="13"/>
  <c r="Q70" i="13"/>
  <c r="M71" i="13"/>
  <c r="J71" i="13"/>
  <c r="Q71" i="13"/>
  <c r="M72" i="13"/>
  <c r="Q72" i="13"/>
  <c r="M73" i="13"/>
  <c r="Q73" i="13"/>
  <c r="J74" i="13"/>
  <c r="M74" i="13"/>
  <c r="Q74" i="13"/>
  <c r="M75" i="13"/>
  <c r="N75" i="13"/>
  <c r="Q75" i="13"/>
  <c r="M76" i="13"/>
  <c r="Q76" i="13"/>
  <c r="M77" i="13"/>
  <c r="Q77" i="13"/>
  <c r="M78" i="13"/>
  <c r="Q78" i="13"/>
  <c r="M79" i="13"/>
  <c r="N79" i="13"/>
  <c r="Q79" i="13"/>
  <c r="B127" i="13"/>
  <c r="K127" i="13" s="1"/>
  <c r="M81" i="13"/>
  <c r="Q81" i="13"/>
  <c r="M82" i="13"/>
  <c r="Q82" i="13"/>
  <c r="J83" i="13"/>
  <c r="M83" i="13"/>
  <c r="Q83" i="13"/>
  <c r="M84" i="13"/>
  <c r="Q84" i="13"/>
  <c r="K85" i="13"/>
  <c r="M85" i="13"/>
  <c r="Q85" i="13"/>
  <c r="M86" i="13"/>
  <c r="Q86" i="13"/>
  <c r="M87" i="13"/>
  <c r="Q87" i="13"/>
  <c r="M88" i="13"/>
  <c r="Q88" i="13"/>
  <c r="M89" i="13"/>
  <c r="Q89" i="13"/>
  <c r="M90" i="13"/>
  <c r="Q90" i="13"/>
  <c r="P48" i="13"/>
  <c r="A95" i="13"/>
  <c r="J95" i="13" s="1"/>
  <c r="L49" i="13"/>
  <c r="O50" i="13"/>
  <c r="C96" i="13"/>
  <c r="L51" i="13"/>
  <c r="L53" i="13"/>
  <c r="C100" i="13"/>
  <c r="L100" i="13" s="1"/>
  <c r="B101" i="13"/>
  <c r="O101" i="13" s="1"/>
  <c r="J56" i="13"/>
  <c r="C104" i="13"/>
  <c r="L104" i="13" s="1"/>
  <c r="P60" i="13"/>
  <c r="A107" i="13"/>
  <c r="N107" i="13" s="1"/>
  <c r="B107" i="13"/>
  <c r="C107" i="13"/>
  <c r="P107" i="13" s="1"/>
  <c r="O62" i="13"/>
  <c r="L62" i="13"/>
  <c r="O63" i="13"/>
  <c r="C109" i="13"/>
  <c r="P64" i="13"/>
  <c r="B111" i="13"/>
  <c r="K66" i="13"/>
  <c r="K67" i="13"/>
  <c r="L68" i="13"/>
  <c r="N69" i="13"/>
  <c r="K69" i="13"/>
  <c r="P69" i="13"/>
  <c r="P70" i="13"/>
  <c r="J72" i="13"/>
  <c r="K73" i="13"/>
  <c r="L73" i="13"/>
  <c r="B120" i="13"/>
  <c r="O120" i="13" s="1"/>
  <c r="O75" i="13"/>
  <c r="L75" i="13"/>
  <c r="J76" i="13"/>
  <c r="A123" i="13"/>
  <c r="O77" i="13"/>
  <c r="P77" i="13"/>
  <c r="K78" i="13"/>
  <c r="B125" i="13"/>
  <c r="L79" i="13"/>
  <c r="J81" i="13"/>
  <c r="N82" i="13"/>
  <c r="K84" i="13"/>
  <c r="P85" i="13"/>
  <c r="J86" i="13"/>
  <c r="K86" i="13"/>
  <c r="C132" i="13"/>
  <c r="P132" i="13" s="1"/>
  <c r="C133" i="13"/>
  <c r="L133" i="13" s="1"/>
  <c r="P88" i="13"/>
  <c r="L89" i="13"/>
  <c r="A136" i="13"/>
  <c r="N136" i="13" s="1"/>
  <c r="O90" i="13"/>
  <c r="L90" i="13"/>
  <c r="V22" i="7"/>
  <c r="N3" i="13"/>
  <c r="O3" i="13"/>
  <c r="P3" i="13"/>
  <c r="Q3" i="13"/>
  <c r="N4" i="13"/>
  <c r="O4" i="13"/>
  <c r="P4" i="13"/>
  <c r="Q4" i="13"/>
  <c r="N5" i="13"/>
  <c r="O5" i="13"/>
  <c r="P5" i="13"/>
  <c r="Q5" i="13"/>
  <c r="N6" i="13"/>
  <c r="O6" i="13"/>
  <c r="P6" i="13"/>
  <c r="Q6" i="13"/>
  <c r="N7" i="13"/>
  <c r="O7" i="13"/>
  <c r="P7" i="13"/>
  <c r="Q7" i="13"/>
  <c r="N8" i="13"/>
  <c r="O8" i="13"/>
  <c r="P8" i="13"/>
  <c r="Q8" i="13"/>
  <c r="N9" i="13"/>
  <c r="O9" i="13"/>
  <c r="P9" i="13"/>
  <c r="Q9" i="13"/>
  <c r="N10" i="13"/>
  <c r="O10" i="13"/>
  <c r="P10" i="13"/>
  <c r="Q10" i="13"/>
  <c r="N11" i="13"/>
  <c r="O11" i="13"/>
  <c r="P11" i="13"/>
  <c r="Q11" i="13"/>
  <c r="N12" i="13"/>
  <c r="O12" i="13"/>
  <c r="P12" i="13"/>
  <c r="Q12" i="13"/>
  <c r="N13" i="13"/>
  <c r="O13" i="13"/>
  <c r="P13" i="13"/>
  <c r="Q13" i="13"/>
  <c r="N14" i="13"/>
  <c r="O14" i="13"/>
  <c r="P14" i="13"/>
  <c r="Q14" i="13"/>
  <c r="N15" i="13"/>
  <c r="O15" i="13"/>
  <c r="P15" i="13"/>
  <c r="Q15" i="13"/>
  <c r="N16" i="13"/>
  <c r="O16" i="13"/>
  <c r="P16" i="13"/>
  <c r="Q16" i="13"/>
  <c r="N17" i="13"/>
  <c r="O17" i="13"/>
  <c r="P17" i="13"/>
  <c r="Q17" i="13"/>
  <c r="N18" i="13"/>
  <c r="O18" i="13"/>
  <c r="P18" i="13"/>
  <c r="Q18" i="13"/>
  <c r="N19" i="13"/>
  <c r="O19" i="13"/>
  <c r="P19" i="13"/>
  <c r="Q19" i="13"/>
  <c r="N20" i="13"/>
  <c r="O20" i="13"/>
  <c r="P20" i="13"/>
  <c r="Q20" i="13"/>
  <c r="N21" i="13"/>
  <c r="O21" i="13"/>
  <c r="P21" i="13"/>
  <c r="Q21" i="13"/>
  <c r="N22" i="13"/>
  <c r="O22" i="13"/>
  <c r="P22" i="13"/>
  <c r="Q22" i="13"/>
  <c r="N23" i="13"/>
  <c r="O23" i="13"/>
  <c r="P23" i="13"/>
  <c r="Q23" i="13"/>
  <c r="N24" i="13"/>
  <c r="O24" i="13"/>
  <c r="P24" i="13"/>
  <c r="Q24" i="13"/>
  <c r="N25" i="13"/>
  <c r="O25" i="13"/>
  <c r="P25" i="13"/>
  <c r="Q25" i="13"/>
  <c r="N26" i="13"/>
  <c r="O26" i="13"/>
  <c r="P26" i="13"/>
  <c r="Q26" i="13"/>
  <c r="N27" i="13"/>
  <c r="O27" i="13"/>
  <c r="P27" i="13"/>
  <c r="Q27" i="13"/>
  <c r="N28" i="13"/>
  <c r="O28" i="13"/>
  <c r="P28" i="13"/>
  <c r="Q28" i="13"/>
  <c r="N29" i="13"/>
  <c r="O29" i="13"/>
  <c r="P29" i="13"/>
  <c r="Q29" i="13"/>
  <c r="N30" i="13"/>
  <c r="O30" i="13"/>
  <c r="P30" i="13"/>
  <c r="Q30" i="13"/>
  <c r="N31" i="13"/>
  <c r="O31" i="13"/>
  <c r="P31" i="13"/>
  <c r="Q31" i="13"/>
  <c r="N32" i="13"/>
  <c r="O32" i="13"/>
  <c r="P32" i="13"/>
  <c r="Q32" i="13"/>
  <c r="N33" i="13"/>
  <c r="O33" i="13"/>
  <c r="P33" i="13"/>
  <c r="Q33" i="13"/>
  <c r="N35" i="13"/>
  <c r="O35" i="13"/>
  <c r="P35" i="13"/>
  <c r="Q35" i="13"/>
  <c r="N36" i="13"/>
  <c r="O36" i="13"/>
  <c r="P36" i="13"/>
  <c r="Q36" i="13"/>
  <c r="N37" i="13"/>
  <c r="O37" i="13"/>
  <c r="P37" i="13"/>
  <c r="Q37" i="13"/>
  <c r="N38" i="13"/>
  <c r="O38" i="13"/>
  <c r="P38" i="13"/>
  <c r="Q38" i="13"/>
  <c r="N39" i="13"/>
  <c r="O39" i="13"/>
  <c r="P39" i="13"/>
  <c r="Q39" i="13"/>
  <c r="N40" i="13"/>
  <c r="O40" i="13"/>
  <c r="P40" i="13"/>
  <c r="Q40" i="13"/>
  <c r="N41" i="13"/>
  <c r="O41" i="13"/>
  <c r="P41" i="13"/>
  <c r="Q41" i="13"/>
  <c r="N42" i="13"/>
  <c r="O42" i="13"/>
  <c r="P42" i="13"/>
  <c r="Q42" i="13"/>
  <c r="N43" i="13"/>
  <c r="O43" i="13"/>
  <c r="P43" i="13"/>
  <c r="Q43" i="13"/>
  <c r="Q44" i="13"/>
  <c r="O2" i="13"/>
  <c r="P2" i="13"/>
  <c r="Q2" i="13"/>
  <c r="N2" i="13"/>
  <c r="N50" i="13"/>
  <c r="M49" i="13"/>
  <c r="J3" i="13"/>
  <c r="K3" i="13"/>
  <c r="L3" i="13"/>
  <c r="M3" i="13"/>
  <c r="J4" i="13"/>
  <c r="K4" i="13"/>
  <c r="L4" i="13"/>
  <c r="M4" i="13"/>
  <c r="J5" i="13"/>
  <c r="K5" i="13"/>
  <c r="L5" i="13"/>
  <c r="M5" i="13"/>
  <c r="J6" i="13"/>
  <c r="K6" i="13"/>
  <c r="L6" i="13"/>
  <c r="M6" i="13"/>
  <c r="J7" i="13"/>
  <c r="K7" i="13"/>
  <c r="L7" i="13"/>
  <c r="M7" i="13"/>
  <c r="J8" i="13"/>
  <c r="K8" i="13"/>
  <c r="L8" i="13"/>
  <c r="M8" i="13"/>
  <c r="J9" i="13"/>
  <c r="K9" i="13"/>
  <c r="L9" i="13"/>
  <c r="M9" i="13"/>
  <c r="J10" i="13"/>
  <c r="K10" i="13"/>
  <c r="L10" i="13"/>
  <c r="M10" i="13"/>
  <c r="J11" i="13"/>
  <c r="K11" i="13"/>
  <c r="L11" i="13"/>
  <c r="M11" i="13"/>
  <c r="J12" i="13"/>
  <c r="K12" i="13"/>
  <c r="L12" i="13"/>
  <c r="M12" i="13"/>
  <c r="J13" i="13"/>
  <c r="K13" i="13"/>
  <c r="L13" i="13"/>
  <c r="M13" i="13"/>
  <c r="J14" i="13"/>
  <c r="K14" i="13"/>
  <c r="L14" i="13"/>
  <c r="M14" i="13"/>
  <c r="J15" i="13"/>
  <c r="K15" i="13"/>
  <c r="L15" i="13"/>
  <c r="M15" i="13"/>
  <c r="J16" i="13"/>
  <c r="K16" i="13"/>
  <c r="L16" i="13"/>
  <c r="M16" i="13"/>
  <c r="J17" i="13"/>
  <c r="K17" i="13"/>
  <c r="L17" i="13"/>
  <c r="M17" i="13"/>
  <c r="J18" i="13"/>
  <c r="K18" i="13"/>
  <c r="L18" i="13"/>
  <c r="M18" i="13"/>
  <c r="J19" i="13"/>
  <c r="K19" i="13"/>
  <c r="L19" i="13"/>
  <c r="M19" i="13"/>
  <c r="J20" i="13"/>
  <c r="K20" i="13"/>
  <c r="L20" i="13"/>
  <c r="M20" i="13"/>
  <c r="J21" i="13"/>
  <c r="K21" i="13"/>
  <c r="L21" i="13"/>
  <c r="M21" i="13"/>
  <c r="J22" i="13"/>
  <c r="K22" i="13"/>
  <c r="L22" i="13"/>
  <c r="M22" i="13"/>
  <c r="J23" i="13"/>
  <c r="K23" i="13"/>
  <c r="L23" i="13"/>
  <c r="M23" i="13"/>
  <c r="J24" i="13"/>
  <c r="K24" i="13"/>
  <c r="L24" i="13"/>
  <c r="M24" i="13"/>
  <c r="J25" i="13"/>
  <c r="K25" i="13"/>
  <c r="L25" i="13"/>
  <c r="M25" i="13"/>
  <c r="J26" i="13"/>
  <c r="K26" i="13"/>
  <c r="L26" i="13"/>
  <c r="M26" i="13"/>
  <c r="J27" i="13"/>
  <c r="K27" i="13"/>
  <c r="L27" i="13"/>
  <c r="M27" i="13"/>
  <c r="J28" i="13"/>
  <c r="K28" i="13"/>
  <c r="L28" i="13"/>
  <c r="M28" i="13"/>
  <c r="J29" i="13"/>
  <c r="K29" i="13"/>
  <c r="L29" i="13"/>
  <c r="M29" i="13"/>
  <c r="J30" i="13"/>
  <c r="K30" i="13"/>
  <c r="L30" i="13"/>
  <c r="M30" i="13"/>
  <c r="J31" i="13"/>
  <c r="K31" i="13"/>
  <c r="L31" i="13"/>
  <c r="M31" i="13"/>
  <c r="J32" i="13"/>
  <c r="K32" i="13"/>
  <c r="L32" i="13"/>
  <c r="M32" i="13"/>
  <c r="J33" i="13"/>
  <c r="K33" i="13"/>
  <c r="L33" i="13"/>
  <c r="M33" i="13"/>
  <c r="J35" i="13"/>
  <c r="K35" i="13"/>
  <c r="L35" i="13"/>
  <c r="M35" i="13"/>
  <c r="J36" i="13"/>
  <c r="K36" i="13"/>
  <c r="L36" i="13"/>
  <c r="M36" i="13"/>
  <c r="J37" i="13"/>
  <c r="K37" i="13"/>
  <c r="L37" i="13"/>
  <c r="M37" i="13"/>
  <c r="J38" i="13"/>
  <c r="K38" i="13"/>
  <c r="L38" i="13"/>
  <c r="M38" i="13"/>
  <c r="J39" i="13"/>
  <c r="K39" i="13"/>
  <c r="L39" i="13"/>
  <c r="M39" i="13"/>
  <c r="J40" i="13"/>
  <c r="K40" i="13"/>
  <c r="L40" i="13"/>
  <c r="M40" i="13"/>
  <c r="J41" i="13"/>
  <c r="K41" i="13"/>
  <c r="L41" i="13"/>
  <c r="M41" i="13"/>
  <c r="J42" i="13"/>
  <c r="K42" i="13"/>
  <c r="L42" i="13"/>
  <c r="M42" i="13"/>
  <c r="J43" i="13"/>
  <c r="K43" i="13"/>
  <c r="L43" i="13"/>
  <c r="M43" i="13"/>
  <c r="J44" i="13"/>
  <c r="K44" i="13"/>
  <c r="L44" i="13"/>
  <c r="M44" i="13"/>
  <c r="K2" i="13"/>
  <c r="L2" i="13"/>
  <c r="M2" i="13"/>
  <c r="J2" i="13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AA74" i="11"/>
  <c r="AB74" i="11"/>
  <c r="AC74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AA75" i="11"/>
  <c r="AB75" i="11"/>
  <c r="AC75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AA77" i="11"/>
  <c r="AB77" i="11"/>
  <c r="AC77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AA78" i="11"/>
  <c r="AB78" i="11"/>
  <c r="AC78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AA80" i="11"/>
  <c r="AB80" i="11"/>
  <c r="AC80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AC81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AC82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AC83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AC84" i="11"/>
  <c r="X85" i="11"/>
  <c r="Y85" i="11"/>
  <c r="Z85" i="11"/>
  <c r="AA85" i="11"/>
  <c r="AB85" i="11"/>
  <c r="AC85" i="11"/>
  <c r="X86" i="11"/>
  <c r="Y86" i="11"/>
  <c r="Z86" i="11"/>
  <c r="AA86" i="11"/>
  <c r="AB86" i="11"/>
  <c r="AC86" i="11"/>
  <c r="X87" i="11"/>
  <c r="Y87" i="11"/>
  <c r="Z87" i="11"/>
  <c r="AA87" i="11"/>
  <c r="AB87" i="11"/>
  <c r="AC87" i="11"/>
  <c r="X88" i="11"/>
  <c r="Y88" i="11"/>
  <c r="Z88" i="11"/>
  <c r="AA88" i="11"/>
  <c r="AB88" i="11"/>
  <c r="AC88" i="11"/>
  <c r="X89" i="11"/>
  <c r="Y89" i="11"/>
  <c r="Z89" i="11"/>
  <c r="AA89" i="11"/>
  <c r="AB89" i="11"/>
  <c r="AC89" i="11"/>
  <c r="X90" i="11"/>
  <c r="Y90" i="11"/>
  <c r="Z90" i="11"/>
  <c r="AA90" i="11"/>
  <c r="AB90" i="11"/>
  <c r="AC90" i="11"/>
  <c r="X91" i="11"/>
  <c r="Y91" i="11"/>
  <c r="Z91" i="11"/>
  <c r="AA91" i="11"/>
  <c r="AB91" i="11"/>
  <c r="AC91" i="11"/>
  <c r="X92" i="11"/>
  <c r="Y92" i="11"/>
  <c r="Z92" i="11"/>
  <c r="AA92" i="11"/>
  <c r="AB92" i="11"/>
  <c r="AC92" i="11"/>
  <c r="X93" i="11"/>
  <c r="Y93" i="11"/>
  <c r="Z93" i="11"/>
  <c r="AA93" i="11"/>
  <c r="AB93" i="11"/>
  <c r="AC93" i="11"/>
  <c r="X94" i="11"/>
  <c r="Y94" i="11"/>
  <c r="Z94" i="11"/>
  <c r="AA94" i="11"/>
  <c r="AB94" i="11"/>
  <c r="AC94" i="11"/>
  <c r="X95" i="11"/>
  <c r="Y95" i="11"/>
  <c r="Z95" i="11"/>
  <c r="AA95" i="11"/>
  <c r="AB95" i="11"/>
  <c r="AC95" i="11"/>
  <c r="X96" i="11"/>
  <c r="Y96" i="11"/>
  <c r="Z96" i="11"/>
  <c r="AA96" i="11"/>
  <c r="AB96" i="11"/>
  <c r="AC96" i="11"/>
  <c r="X97" i="11"/>
  <c r="Y97" i="11"/>
  <c r="Z97" i="11"/>
  <c r="AA97" i="11"/>
  <c r="AB97" i="11"/>
  <c r="AC97" i="11"/>
  <c r="X98" i="11"/>
  <c r="Y98" i="11"/>
  <c r="Z98" i="11"/>
  <c r="AA98" i="11"/>
  <c r="AB98" i="11"/>
  <c r="AC98" i="11"/>
  <c r="X99" i="11"/>
  <c r="Y99" i="11"/>
  <c r="Z99" i="11"/>
  <c r="AA99" i="11"/>
  <c r="AB99" i="11"/>
  <c r="AC99" i="11"/>
  <c r="X100" i="11"/>
  <c r="Y100" i="11"/>
  <c r="Z100" i="11"/>
  <c r="AA100" i="11"/>
  <c r="AB100" i="11"/>
  <c r="AC100" i="11"/>
  <c r="X101" i="11"/>
  <c r="Y101" i="11"/>
  <c r="Z101" i="11"/>
  <c r="AA101" i="11"/>
  <c r="AB101" i="11"/>
  <c r="AC101" i="11"/>
  <c r="X102" i="11"/>
  <c r="Y102" i="11"/>
  <c r="Z102" i="11"/>
  <c r="AA102" i="11"/>
  <c r="AB102" i="11"/>
  <c r="AC102" i="11"/>
  <c r="X103" i="11"/>
  <c r="Y103" i="11"/>
  <c r="Z103" i="11"/>
  <c r="AA103" i="11"/>
  <c r="AB103" i="11"/>
  <c r="AC103" i="11"/>
  <c r="X104" i="11"/>
  <c r="Y104" i="11"/>
  <c r="Z104" i="11"/>
  <c r="AA104" i="11"/>
  <c r="AB104" i="11"/>
  <c r="AC104" i="11"/>
  <c r="X105" i="11"/>
  <c r="Y105" i="11"/>
  <c r="Z105" i="11"/>
  <c r="AA105" i="11"/>
  <c r="AB105" i="11"/>
  <c r="AC105" i="11"/>
  <c r="X106" i="11"/>
  <c r="Y106" i="11"/>
  <c r="Z106" i="11"/>
  <c r="AA106" i="11"/>
  <c r="AB106" i="11"/>
  <c r="AC106" i="11"/>
  <c r="X107" i="11"/>
  <c r="Y107" i="11"/>
  <c r="Z107" i="11"/>
  <c r="AA107" i="11"/>
  <c r="AB107" i="11"/>
  <c r="AC107" i="11"/>
  <c r="X108" i="11"/>
  <c r="Y108" i="11"/>
  <c r="Z108" i="11"/>
  <c r="AA108" i="11"/>
  <c r="AB108" i="11"/>
  <c r="AC108" i="11"/>
  <c r="X109" i="11"/>
  <c r="Y109" i="11"/>
  <c r="Z109" i="11"/>
  <c r="AA109" i="11"/>
  <c r="AB109" i="11"/>
  <c r="AC109" i="11"/>
  <c r="X110" i="11"/>
  <c r="Y110" i="11"/>
  <c r="Z110" i="11"/>
  <c r="AA110" i="11"/>
  <c r="AB110" i="11"/>
  <c r="AC110" i="11"/>
  <c r="X111" i="11"/>
  <c r="Y111" i="11"/>
  <c r="Z111" i="11"/>
  <c r="AA111" i="11"/>
  <c r="AB111" i="11"/>
  <c r="AC111" i="11"/>
  <c r="X112" i="11"/>
  <c r="Y112" i="11"/>
  <c r="Z112" i="11"/>
  <c r="AA112" i="11"/>
  <c r="AB112" i="11"/>
  <c r="AC112" i="11"/>
  <c r="X113" i="11"/>
  <c r="Y113" i="11"/>
  <c r="Z113" i="11"/>
  <c r="AA113" i="11"/>
  <c r="AB113" i="11"/>
  <c r="AC113" i="11"/>
  <c r="X114" i="11"/>
  <c r="Y114" i="11"/>
  <c r="Z114" i="11"/>
  <c r="AA114" i="11"/>
  <c r="AB114" i="11"/>
  <c r="AC114" i="11"/>
  <c r="X115" i="11"/>
  <c r="Y115" i="11"/>
  <c r="Z115" i="11"/>
  <c r="AA115" i="11"/>
  <c r="AB115" i="11"/>
  <c r="AC115" i="11"/>
  <c r="X116" i="11"/>
  <c r="Y116" i="11"/>
  <c r="Z116" i="11"/>
  <c r="AA116" i="11"/>
  <c r="AB116" i="11"/>
  <c r="AC116" i="11"/>
  <c r="X117" i="11"/>
  <c r="Y117" i="11"/>
  <c r="Z117" i="11"/>
  <c r="AA117" i="11"/>
  <c r="AB117" i="11"/>
  <c r="AC117" i="11"/>
  <c r="X118" i="11"/>
  <c r="Y118" i="11"/>
  <c r="Z118" i="11"/>
  <c r="AA118" i="11"/>
  <c r="AB118" i="11"/>
  <c r="AC118" i="11"/>
  <c r="X119" i="11"/>
  <c r="Y119" i="11"/>
  <c r="Z119" i="11"/>
  <c r="AA119" i="11"/>
  <c r="AB119" i="11"/>
  <c r="AC119" i="11"/>
  <c r="X120" i="11"/>
  <c r="Y120" i="11"/>
  <c r="Z120" i="11"/>
  <c r="AA120" i="11"/>
  <c r="AB120" i="11"/>
  <c r="AC120" i="11"/>
  <c r="X121" i="11"/>
  <c r="Y121" i="11"/>
  <c r="Z121" i="11"/>
  <c r="AA121" i="11"/>
  <c r="AB121" i="11"/>
  <c r="AC121" i="11"/>
  <c r="X122" i="11"/>
  <c r="Y122" i="11"/>
  <c r="Z122" i="11"/>
  <c r="AA122" i="11"/>
  <c r="AB122" i="11"/>
  <c r="AC122" i="11"/>
  <c r="X123" i="11"/>
  <c r="Y123" i="11"/>
  <c r="Z123" i="11"/>
  <c r="AA123" i="11"/>
  <c r="AB123" i="11"/>
  <c r="AC123" i="11"/>
  <c r="X124" i="11"/>
  <c r="Y124" i="11"/>
  <c r="Z124" i="11"/>
  <c r="AA124" i="11"/>
  <c r="AB124" i="11"/>
  <c r="AC124" i="11"/>
  <c r="H65" i="11"/>
  <c r="H66" i="11"/>
  <c r="H67" i="11"/>
  <c r="H68" i="11"/>
  <c r="H69" i="11"/>
  <c r="H70" i="11"/>
  <c r="H71" i="11"/>
  <c r="G71" i="11" s="1"/>
  <c r="H72" i="11"/>
  <c r="G73" i="11"/>
  <c r="H73" i="11"/>
  <c r="G74" i="11"/>
  <c r="H74" i="11"/>
  <c r="G75" i="11"/>
  <c r="H75" i="11"/>
  <c r="G76" i="11"/>
  <c r="H76" i="11"/>
  <c r="G77" i="11"/>
  <c r="H77" i="11"/>
  <c r="G78" i="11"/>
  <c r="H78" i="11"/>
  <c r="G79" i="11"/>
  <c r="H79" i="11"/>
  <c r="G80" i="11"/>
  <c r="H80" i="11"/>
  <c r="G81" i="11"/>
  <c r="H81" i="11"/>
  <c r="G82" i="11"/>
  <c r="H82" i="11"/>
  <c r="G83" i="11"/>
  <c r="H83" i="11"/>
  <c r="G84" i="11"/>
  <c r="H84" i="11"/>
  <c r="D65" i="11"/>
  <c r="E65" i="11"/>
  <c r="F65" i="11"/>
  <c r="D66" i="11"/>
  <c r="E66" i="11"/>
  <c r="F66" i="11"/>
  <c r="D67" i="11"/>
  <c r="E67" i="11"/>
  <c r="F67" i="11"/>
  <c r="D68" i="11"/>
  <c r="E68" i="11"/>
  <c r="F68" i="11"/>
  <c r="D69" i="11"/>
  <c r="E69" i="11"/>
  <c r="F69" i="11"/>
  <c r="D70" i="11"/>
  <c r="E70" i="11"/>
  <c r="F70" i="11"/>
  <c r="D71" i="11"/>
  <c r="E71" i="11"/>
  <c r="F71" i="11"/>
  <c r="D72" i="11"/>
  <c r="E72" i="11"/>
  <c r="F72" i="11"/>
  <c r="D73" i="11"/>
  <c r="E73" i="11"/>
  <c r="F73" i="11"/>
  <c r="D74" i="11"/>
  <c r="E74" i="11"/>
  <c r="F74" i="11"/>
  <c r="D75" i="11"/>
  <c r="E75" i="11"/>
  <c r="F75" i="11"/>
  <c r="D76" i="11"/>
  <c r="E76" i="11"/>
  <c r="F76" i="11"/>
  <c r="D77" i="11"/>
  <c r="E77" i="11"/>
  <c r="F77" i="11"/>
  <c r="D78" i="11"/>
  <c r="E78" i="11"/>
  <c r="F78" i="11"/>
  <c r="D79" i="11"/>
  <c r="E79" i="11"/>
  <c r="F79" i="11"/>
  <c r="D80" i="11"/>
  <c r="E80" i="11"/>
  <c r="F80" i="11"/>
  <c r="D81" i="11"/>
  <c r="E81" i="11"/>
  <c r="F81" i="11"/>
  <c r="D82" i="11"/>
  <c r="E82" i="11"/>
  <c r="F82" i="11"/>
  <c r="D83" i="11"/>
  <c r="E83" i="11"/>
  <c r="F83" i="11"/>
  <c r="D84" i="11"/>
  <c r="E84" i="11"/>
  <c r="F84" i="11"/>
  <c r="C66" i="11"/>
  <c r="C67" i="11"/>
  <c r="C68" i="11"/>
  <c r="B68" i="11" s="1"/>
  <c r="C69" i="11"/>
  <c r="C70" i="11"/>
  <c r="C71" i="11"/>
  <c r="C72" i="11"/>
  <c r="C73" i="11"/>
  <c r="C74" i="11"/>
  <c r="C75" i="11"/>
  <c r="C76" i="11"/>
  <c r="B76" i="11" s="1"/>
  <c r="C77" i="11"/>
  <c r="C78" i="11"/>
  <c r="B78" i="11" s="1"/>
  <c r="C79" i="11"/>
  <c r="C80" i="11"/>
  <c r="C81" i="11"/>
  <c r="C82" i="11"/>
  <c r="C83" i="11"/>
  <c r="C84" i="11"/>
  <c r="C65" i="11"/>
  <c r="D61" i="11"/>
  <c r="D124" i="11" s="1"/>
  <c r="F2" i="7"/>
  <c r="AR26" i="7"/>
  <c r="W61" i="11"/>
  <c r="W124" i="11" s="1"/>
  <c r="V61" i="11"/>
  <c r="V124" i="11" s="1"/>
  <c r="U61" i="11"/>
  <c r="U124" i="11" s="1"/>
  <c r="T61" i="11"/>
  <c r="T124" i="11" s="1"/>
  <c r="S61" i="11"/>
  <c r="S124" i="11" s="1"/>
  <c r="R61" i="11"/>
  <c r="R124" i="11" s="1"/>
  <c r="Q61" i="11"/>
  <c r="Q124" i="11" s="1"/>
  <c r="P61" i="11"/>
  <c r="P124" i="11" s="1"/>
  <c r="O61" i="11"/>
  <c r="O124" i="11" s="1"/>
  <c r="N61" i="11"/>
  <c r="N124" i="11" s="1"/>
  <c r="M61" i="11"/>
  <c r="M124" i="11" s="1"/>
  <c r="L61" i="11"/>
  <c r="L124" i="11" s="1"/>
  <c r="K61" i="11"/>
  <c r="K124" i="11" s="1"/>
  <c r="J61" i="11"/>
  <c r="J124" i="11" s="1"/>
  <c r="I61" i="11"/>
  <c r="I124" i="11" s="1"/>
  <c r="H61" i="11"/>
  <c r="H124" i="11" s="1"/>
  <c r="G61" i="11"/>
  <c r="G124" i="11" s="1"/>
  <c r="F61" i="11"/>
  <c r="F124" i="11" s="1"/>
  <c r="E61" i="11"/>
  <c r="E124" i="11" s="1"/>
  <c r="C61" i="11"/>
  <c r="C124" i="11" s="1"/>
  <c r="W60" i="11"/>
  <c r="W123" i="11" s="1"/>
  <c r="V60" i="11"/>
  <c r="V123" i="11" s="1"/>
  <c r="U60" i="11"/>
  <c r="U123" i="11" s="1"/>
  <c r="T60" i="11"/>
  <c r="T123" i="11" s="1"/>
  <c r="S60" i="11"/>
  <c r="S123" i="11" s="1"/>
  <c r="R60" i="11"/>
  <c r="R123" i="11" s="1"/>
  <c r="Q60" i="11"/>
  <c r="Q123" i="11" s="1"/>
  <c r="P60" i="11"/>
  <c r="P123" i="11" s="1"/>
  <c r="O60" i="11"/>
  <c r="O123" i="11" s="1"/>
  <c r="N60" i="11"/>
  <c r="N123" i="11" s="1"/>
  <c r="M60" i="11"/>
  <c r="M123" i="11" s="1"/>
  <c r="L60" i="11"/>
  <c r="L123" i="11" s="1"/>
  <c r="K60" i="11"/>
  <c r="K123" i="11" s="1"/>
  <c r="J60" i="11"/>
  <c r="J123" i="11" s="1"/>
  <c r="I60" i="11"/>
  <c r="I123" i="11" s="1"/>
  <c r="H60" i="11"/>
  <c r="H123" i="11" s="1"/>
  <c r="G60" i="11"/>
  <c r="G123" i="11" s="1"/>
  <c r="F60" i="11"/>
  <c r="F123" i="11" s="1"/>
  <c r="E60" i="11"/>
  <c r="E123" i="11" s="1"/>
  <c r="D60" i="11"/>
  <c r="D123" i="11" s="1"/>
  <c r="C60" i="11"/>
  <c r="C123" i="11" s="1"/>
  <c r="W59" i="11"/>
  <c r="W122" i="11" s="1"/>
  <c r="V59" i="11"/>
  <c r="V122" i="11" s="1"/>
  <c r="U59" i="11"/>
  <c r="U122" i="11" s="1"/>
  <c r="T59" i="11"/>
  <c r="T122" i="11" s="1"/>
  <c r="S59" i="11"/>
  <c r="S122" i="11" s="1"/>
  <c r="R59" i="11"/>
  <c r="R122" i="11" s="1"/>
  <c r="Q59" i="11"/>
  <c r="Q122" i="11" s="1"/>
  <c r="P59" i="11"/>
  <c r="P122" i="11" s="1"/>
  <c r="O59" i="11"/>
  <c r="O122" i="11" s="1"/>
  <c r="N59" i="11"/>
  <c r="N122" i="11" s="1"/>
  <c r="M59" i="11"/>
  <c r="M122" i="11" s="1"/>
  <c r="L59" i="11"/>
  <c r="L122" i="11" s="1"/>
  <c r="K59" i="11"/>
  <c r="K122" i="11" s="1"/>
  <c r="J59" i="11"/>
  <c r="J122" i="11" s="1"/>
  <c r="I59" i="11"/>
  <c r="I122" i="11" s="1"/>
  <c r="H59" i="11"/>
  <c r="H122" i="11" s="1"/>
  <c r="G59" i="11"/>
  <c r="G122" i="11" s="1"/>
  <c r="F59" i="11"/>
  <c r="F122" i="11" s="1"/>
  <c r="E59" i="11"/>
  <c r="E122" i="11" s="1"/>
  <c r="D59" i="11"/>
  <c r="D122" i="11" s="1"/>
  <c r="C59" i="11"/>
  <c r="C122" i="11" s="1"/>
  <c r="W58" i="11"/>
  <c r="W121" i="11" s="1"/>
  <c r="V58" i="11"/>
  <c r="V121" i="11" s="1"/>
  <c r="U58" i="11"/>
  <c r="U121" i="11" s="1"/>
  <c r="T58" i="11"/>
  <c r="T121" i="11" s="1"/>
  <c r="S58" i="11"/>
  <c r="S121" i="11" s="1"/>
  <c r="R58" i="11"/>
  <c r="R121" i="11" s="1"/>
  <c r="Q58" i="11"/>
  <c r="Q121" i="11" s="1"/>
  <c r="P58" i="11"/>
  <c r="P121" i="11" s="1"/>
  <c r="O58" i="11"/>
  <c r="O121" i="11" s="1"/>
  <c r="N58" i="11"/>
  <c r="N121" i="11" s="1"/>
  <c r="M58" i="11"/>
  <c r="M121" i="11" s="1"/>
  <c r="L58" i="11"/>
  <c r="L121" i="11" s="1"/>
  <c r="K58" i="11"/>
  <c r="K121" i="11" s="1"/>
  <c r="J58" i="11"/>
  <c r="J121" i="11" s="1"/>
  <c r="I58" i="11"/>
  <c r="I121" i="11" s="1"/>
  <c r="H58" i="11"/>
  <c r="H121" i="11" s="1"/>
  <c r="G58" i="11"/>
  <c r="G121" i="11" s="1"/>
  <c r="F58" i="11"/>
  <c r="F121" i="11" s="1"/>
  <c r="E58" i="11"/>
  <c r="E121" i="11" s="1"/>
  <c r="D58" i="11"/>
  <c r="D121" i="11" s="1"/>
  <c r="C58" i="11"/>
  <c r="C121" i="11" s="1"/>
  <c r="W57" i="11"/>
  <c r="W120" i="11" s="1"/>
  <c r="V57" i="11"/>
  <c r="V120" i="11" s="1"/>
  <c r="U57" i="11"/>
  <c r="U120" i="11" s="1"/>
  <c r="T57" i="11"/>
  <c r="T120" i="11" s="1"/>
  <c r="S57" i="11"/>
  <c r="S120" i="11" s="1"/>
  <c r="R57" i="11"/>
  <c r="R120" i="11" s="1"/>
  <c r="Q57" i="11"/>
  <c r="Q120" i="11" s="1"/>
  <c r="P57" i="11"/>
  <c r="P120" i="11" s="1"/>
  <c r="O57" i="11"/>
  <c r="O120" i="11" s="1"/>
  <c r="N57" i="11"/>
  <c r="N120" i="11" s="1"/>
  <c r="M57" i="11"/>
  <c r="M120" i="11" s="1"/>
  <c r="L57" i="11"/>
  <c r="L120" i="11" s="1"/>
  <c r="K57" i="11"/>
  <c r="K120" i="11" s="1"/>
  <c r="J57" i="11"/>
  <c r="J120" i="11" s="1"/>
  <c r="I57" i="11"/>
  <c r="I120" i="11" s="1"/>
  <c r="H57" i="11"/>
  <c r="H120" i="11" s="1"/>
  <c r="G57" i="11"/>
  <c r="G120" i="11" s="1"/>
  <c r="F57" i="11"/>
  <c r="F120" i="11" s="1"/>
  <c r="E57" i="11"/>
  <c r="E120" i="11" s="1"/>
  <c r="D57" i="11"/>
  <c r="D120" i="11" s="1"/>
  <c r="C57" i="11"/>
  <c r="C120" i="11" s="1"/>
  <c r="W56" i="11"/>
  <c r="W119" i="11" s="1"/>
  <c r="V56" i="11"/>
  <c r="V119" i="11" s="1"/>
  <c r="U56" i="11"/>
  <c r="U119" i="11" s="1"/>
  <c r="T56" i="11"/>
  <c r="T119" i="11" s="1"/>
  <c r="S56" i="11"/>
  <c r="S119" i="11" s="1"/>
  <c r="R56" i="11"/>
  <c r="R119" i="11" s="1"/>
  <c r="Q56" i="11"/>
  <c r="Q119" i="11" s="1"/>
  <c r="P56" i="11"/>
  <c r="P119" i="11" s="1"/>
  <c r="O56" i="11"/>
  <c r="O119" i="11" s="1"/>
  <c r="N56" i="11"/>
  <c r="N119" i="11" s="1"/>
  <c r="M56" i="11"/>
  <c r="M119" i="11" s="1"/>
  <c r="L56" i="11"/>
  <c r="L119" i="11" s="1"/>
  <c r="K56" i="11"/>
  <c r="K119" i="11" s="1"/>
  <c r="J56" i="11"/>
  <c r="J119" i="11" s="1"/>
  <c r="I56" i="11"/>
  <c r="I119" i="11" s="1"/>
  <c r="H56" i="11"/>
  <c r="H119" i="11" s="1"/>
  <c r="G56" i="11"/>
  <c r="G119" i="11" s="1"/>
  <c r="F56" i="11"/>
  <c r="F119" i="11" s="1"/>
  <c r="E56" i="11"/>
  <c r="E119" i="11" s="1"/>
  <c r="D56" i="11"/>
  <c r="D119" i="11" s="1"/>
  <c r="C56" i="11"/>
  <c r="C119" i="11" s="1"/>
  <c r="W55" i="11"/>
  <c r="W118" i="11" s="1"/>
  <c r="V55" i="11"/>
  <c r="V118" i="11" s="1"/>
  <c r="U55" i="11"/>
  <c r="U118" i="11" s="1"/>
  <c r="T55" i="11"/>
  <c r="T118" i="11" s="1"/>
  <c r="S55" i="11"/>
  <c r="S118" i="11" s="1"/>
  <c r="R55" i="11"/>
  <c r="R118" i="11" s="1"/>
  <c r="Q55" i="11"/>
  <c r="Q118" i="11" s="1"/>
  <c r="P55" i="11"/>
  <c r="P118" i="11" s="1"/>
  <c r="O55" i="11"/>
  <c r="O118" i="11" s="1"/>
  <c r="N55" i="11"/>
  <c r="N118" i="11" s="1"/>
  <c r="M55" i="11"/>
  <c r="M118" i="11" s="1"/>
  <c r="L55" i="11"/>
  <c r="L118" i="11" s="1"/>
  <c r="K55" i="11"/>
  <c r="K118" i="11" s="1"/>
  <c r="J55" i="11"/>
  <c r="J118" i="11" s="1"/>
  <c r="I55" i="11"/>
  <c r="I118" i="11" s="1"/>
  <c r="H55" i="11"/>
  <c r="H118" i="11" s="1"/>
  <c r="G55" i="11"/>
  <c r="G118" i="11" s="1"/>
  <c r="F55" i="11"/>
  <c r="F118" i="11" s="1"/>
  <c r="E55" i="11"/>
  <c r="E118" i="11" s="1"/>
  <c r="D55" i="11"/>
  <c r="D118" i="11" s="1"/>
  <c r="C55" i="11"/>
  <c r="C118" i="11" s="1"/>
  <c r="W54" i="11"/>
  <c r="W117" i="11" s="1"/>
  <c r="V54" i="11"/>
  <c r="V117" i="11" s="1"/>
  <c r="U54" i="11"/>
  <c r="U117" i="11" s="1"/>
  <c r="T54" i="11"/>
  <c r="T117" i="11" s="1"/>
  <c r="S54" i="11"/>
  <c r="S117" i="11" s="1"/>
  <c r="R54" i="11"/>
  <c r="R117" i="11" s="1"/>
  <c r="Q54" i="11"/>
  <c r="Q117" i="11" s="1"/>
  <c r="P54" i="11"/>
  <c r="P117" i="11" s="1"/>
  <c r="O54" i="11"/>
  <c r="O117" i="11" s="1"/>
  <c r="N54" i="11"/>
  <c r="N117" i="11" s="1"/>
  <c r="M54" i="11"/>
  <c r="M117" i="11" s="1"/>
  <c r="L54" i="11"/>
  <c r="L117" i="11" s="1"/>
  <c r="K54" i="11"/>
  <c r="K117" i="11" s="1"/>
  <c r="J54" i="11"/>
  <c r="J117" i="11" s="1"/>
  <c r="I54" i="11"/>
  <c r="I117" i="11" s="1"/>
  <c r="H54" i="11"/>
  <c r="H117" i="11" s="1"/>
  <c r="G54" i="11"/>
  <c r="G117" i="11" s="1"/>
  <c r="F54" i="11"/>
  <c r="F117" i="11" s="1"/>
  <c r="E54" i="11"/>
  <c r="E117" i="11" s="1"/>
  <c r="D54" i="11"/>
  <c r="D117" i="11" s="1"/>
  <c r="C54" i="11"/>
  <c r="C117" i="11" s="1"/>
  <c r="W53" i="11"/>
  <c r="W116" i="11" s="1"/>
  <c r="V53" i="11"/>
  <c r="V116" i="11" s="1"/>
  <c r="U53" i="11"/>
  <c r="U116" i="11" s="1"/>
  <c r="T53" i="11"/>
  <c r="T116" i="11" s="1"/>
  <c r="S53" i="11"/>
  <c r="S116" i="11" s="1"/>
  <c r="R53" i="11"/>
  <c r="R116" i="11" s="1"/>
  <c r="Q53" i="11"/>
  <c r="Q116" i="11" s="1"/>
  <c r="P53" i="11"/>
  <c r="P116" i="11" s="1"/>
  <c r="O53" i="11"/>
  <c r="O116" i="11" s="1"/>
  <c r="N53" i="11"/>
  <c r="N116" i="11" s="1"/>
  <c r="M53" i="11"/>
  <c r="M116" i="11" s="1"/>
  <c r="L53" i="11"/>
  <c r="L116" i="11" s="1"/>
  <c r="K53" i="11"/>
  <c r="K116" i="11" s="1"/>
  <c r="J53" i="11"/>
  <c r="J116" i="11" s="1"/>
  <c r="I53" i="11"/>
  <c r="I116" i="11" s="1"/>
  <c r="H53" i="11"/>
  <c r="H116" i="11" s="1"/>
  <c r="G53" i="11"/>
  <c r="G116" i="11" s="1"/>
  <c r="F53" i="11"/>
  <c r="F116" i="11" s="1"/>
  <c r="E53" i="11"/>
  <c r="E116" i="11" s="1"/>
  <c r="D53" i="11"/>
  <c r="D116" i="11" s="1"/>
  <c r="C53" i="11"/>
  <c r="C116" i="11" s="1"/>
  <c r="W52" i="11"/>
  <c r="W115" i="11" s="1"/>
  <c r="V52" i="11"/>
  <c r="V115" i="11" s="1"/>
  <c r="U52" i="11"/>
  <c r="U115" i="11" s="1"/>
  <c r="T52" i="11"/>
  <c r="T115" i="11" s="1"/>
  <c r="S52" i="11"/>
  <c r="S115" i="11" s="1"/>
  <c r="R52" i="11"/>
  <c r="R115" i="11" s="1"/>
  <c r="Q52" i="11"/>
  <c r="Q115" i="11" s="1"/>
  <c r="P52" i="11"/>
  <c r="P115" i="11" s="1"/>
  <c r="O52" i="11"/>
  <c r="O115" i="11" s="1"/>
  <c r="N52" i="11"/>
  <c r="N115" i="11" s="1"/>
  <c r="M52" i="11"/>
  <c r="M115" i="11" s="1"/>
  <c r="L52" i="11"/>
  <c r="L115" i="11" s="1"/>
  <c r="K52" i="11"/>
  <c r="K115" i="11" s="1"/>
  <c r="J52" i="11"/>
  <c r="J115" i="11" s="1"/>
  <c r="I52" i="11"/>
  <c r="I115" i="11" s="1"/>
  <c r="H52" i="11"/>
  <c r="H115" i="11" s="1"/>
  <c r="G52" i="11"/>
  <c r="G115" i="11" s="1"/>
  <c r="F52" i="11"/>
  <c r="F115" i="11" s="1"/>
  <c r="E52" i="11"/>
  <c r="E115" i="11" s="1"/>
  <c r="D52" i="11"/>
  <c r="D115" i="11" s="1"/>
  <c r="C52" i="11"/>
  <c r="C115" i="11" s="1"/>
  <c r="W51" i="11"/>
  <c r="W114" i="11" s="1"/>
  <c r="V51" i="11"/>
  <c r="V114" i="11" s="1"/>
  <c r="U51" i="11"/>
  <c r="U114" i="11" s="1"/>
  <c r="T51" i="11"/>
  <c r="T114" i="11" s="1"/>
  <c r="S51" i="11"/>
  <c r="S114" i="11" s="1"/>
  <c r="R51" i="11"/>
  <c r="R114" i="11" s="1"/>
  <c r="Q51" i="11"/>
  <c r="Q114" i="11" s="1"/>
  <c r="P51" i="11"/>
  <c r="P114" i="11" s="1"/>
  <c r="O51" i="11"/>
  <c r="O114" i="11" s="1"/>
  <c r="N51" i="11"/>
  <c r="N114" i="11" s="1"/>
  <c r="M51" i="11"/>
  <c r="M114" i="11" s="1"/>
  <c r="L51" i="11"/>
  <c r="L114" i="11" s="1"/>
  <c r="K51" i="11"/>
  <c r="K114" i="11" s="1"/>
  <c r="J51" i="11"/>
  <c r="J114" i="11" s="1"/>
  <c r="I51" i="11"/>
  <c r="I114" i="11" s="1"/>
  <c r="H51" i="11"/>
  <c r="H114" i="11" s="1"/>
  <c r="G51" i="11"/>
  <c r="G114" i="11" s="1"/>
  <c r="F51" i="11"/>
  <c r="F114" i="11" s="1"/>
  <c r="E51" i="11"/>
  <c r="E114" i="11" s="1"/>
  <c r="D51" i="11"/>
  <c r="D114" i="11" s="1"/>
  <c r="C51" i="11"/>
  <c r="C114" i="11" s="1"/>
  <c r="W50" i="11"/>
  <c r="W113" i="11" s="1"/>
  <c r="V50" i="11"/>
  <c r="V113" i="11" s="1"/>
  <c r="U50" i="11"/>
  <c r="U113" i="11" s="1"/>
  <c r="T50" i="11"/>
  <c r="T113" i="11" s="1"/>
  <c r="S50" i="11"/>
  <c r="S113" i="11" s="1"/>
  <c r="R50" i="11"/>
  <c r="R113" i="11" s="1"/>
  <c r="Q50" i="11"/>
  <c r="Q113" i="11" s="1"/>
  <c r="P50" i="11"/>
  <c r="P113" i="11" s="1"/>
  <c r="O50" i="11"/>
  <c r="O113" i="11" s="1"/>
  <c r="N50" i="11"/>
  <c r="N113" i="11" s="1"/>
  <c r="M50" i="11"/>
  <c r="M113" i="11" s="1"/>
  <c r="L50" i="11"/>
  <c r="L113" i="11" s="1"/>
  <c r="K50" i="11"/>
  <c r="K113" i="11" s="1"/>
  <c r="J50" i="11"/>
  <c r="J113" i="11" s="1"/>
  <c r="I50" i="11"/>
  <c r="I113" i="11" s="1"/>
  <c r="H50" i="11"/>
  <c r="H113" i="11" s="1"/>
  <c r="G50" i="11"/>
  <c r="G113" i="11" s="1"/>
  <c r="F50" i="11"/>
  <c r="F113" i="11" s="1"/>
  <c r="E50" i="11"/>
  <c r="E113" i="11" s="1"/>
  <c r="D50" i="11"/>
  <c r="D113" i="11" s="1"/>
  <c r="C50" i="11"/>
  <c r="C113" i="11" s="1"/>
  <c r="W49" i="11"/>
  <c r="W112" i="11" s="1"/>
  <c r="V49" i="11"/>
  <c r="V112" i="11" s="1"/>
  <c r="U49" i="11"/>
  <c r="U112" i="11" s="1"/>
  <c r="T49" i="11"/>
  <c r="T112" i="11" s="1"/>
  <c r="S49" i="11"/>
  <c r="S112" i="11" s="1"/>
  <c r="R49" i="11"/>
  <c r="R112" i="11" s="1"/>
  <c r="Q49" i="11"/>
  <c r="Q112" i="11" s="1"/>
  <c r="P49" i="11"/>
  <c r="P112" i="11" s="1"/>
  <c r="O49" i="11"/>
  <c r="O112" i="11" s="1"/>
  <c r="N49" i="11"/>
  <c r="N112" i="11" s="1"/>
  <c r="M49" i="11"/>
  <c r="M112" i="11" s="1"/>
  <c r="L49" i="11"/>
  <c r="L112" i="11" s="1"/>
  <c r="K49" i="11"/>
  <c r="K112" i="11" s="1"/>
  <c r="J49" i="11"/>
  <c r="J112" i="11" s="1"/>
  <c r="I49" i="11"/>
  <c r="I112" i="11" s="1"/>
  <c r="H49" i="11"/>
  <c r="H112" i="11" s="1"/>
  <c r="G49" i="11"/>
  <c r="G112" i="11" s="1"/>
  <c r="F49" i="11"/>
  <c r="F112" i="11" s="1"/>
  <c r="E49" i="11"/>
  <c r="E112" i="11" s="1"/>
  <c r="D49" i="11"/>
  <c r="D112" i="11" s="1"/>
  <c r="C49" i="11"/>
  <c r="C112" i="11" s="1"/>
  <c r="W48" i="11"/>
  <c r="W111" i="11" s="1"/>
  <c r="V48" i="11"/>
  <c r="V111" i="11" s="1"/>
  <c r="U48" i="11"/>
  <c r="U111" i="11" s="1"/>
  <c r="T48" i="11"/>
  <c r="T111" i="11" s="1"/>
  <c r="S48" i="11"/>
  <c r="S111" i="11" s="1"/>
  <c r="R48" i="11"/>
  <c r="R111" i="11" s="1"/>
  <c r="Q48" i="11"/>
  <c r="Q111" i="11" s="1"/>
  <c r="P48" i="11"/>
  <c r="P111" i="11" s="1"/>
  <c r="O48" i="11"/>
  <c r="O111" i="11" s="1"/>
  <c r="N48" i="11"/>
  <c r="N111" i="11" s="1"/>
  <c r="M48" i="11"/>
  <c r="M111" i="11" s="1"/>
  <c r="L48" i="11"/>
  <c r="L111" i="11" s="1"/>
  <c r="K48" i="11"/>
  <c r="K111" i="11" s="1"/>
  <c r="J48" i="11"/>
  <c r="J111" i="11" s="1"/>
  <c r="I48" i="11"/>
  <c r="I111" i="11" s="1"/>
  <c r="H48" i="11"/>
  <c r="H111" i="11" s="1"/>
  <c r="G48" i="11"/>
  <c r="G111" i="11" s="1"/>
  <c r="F48" i="11"/>
  <c r="F111" i="11" s="1"/>
  <c r="E48" i="11"/>
  <c r="E111" i="11" s="1"/>
  <c r="D48" i="11"/>
  <c r="D111" i="11" s="1"/>
  <c r="C48" i="11"/>
  <c r="C111" i="11" s="1"/>
  <c r="W47" i="11"/>
  <c r="W110" i="11" s="1"/>
  <c r="V47" i="11"/>
  <c r="V110" i="11" s="1"/>
  <c r="U47" i="11"/>
  <c r="U110" i="11" s="1"/>
  <c r="T47" i="11"/>
  <c r="T110" i="11" s="1"/>
  <c r="S47" i="11"/>
  <c r="S110" i="11" s="1"/>
  <c r="R47" i="11"/>
  <c r="R110" i="11" s="1"/>
  <c r="Q47" i="11"/>
  <c r="Q110" i="11" s="1"/>
  <c r="P47" i="11"/>
  <c r="P110" i="11" s="1"/>
  <c r="O47" i="11"/>
  <c r="O110" i="11" s="1"/>
  <c r="N47" i="11"/>
  <c r="N110" i="11" s="1"/>
  <c r="M47" i="11"/>
  <c r="M110" i="11" s="1"/>
  <c r="L47" i="11"/>
  <c r="L110" i="11" s="1"/>
  <c r="K47" i="11"/>
  <c r="K110" i="11" s="1"/>
  <c r="J47" i="11"/>
  <c r="J110" i="11" s="1"/>
  <c r="I47" i="11"/>
  <c r="I110" i="11" s="1"/>
  <c r="H47" i="11"/>
  <c r="H110" i="11" s="1"/>
  <c r="G47" i="11"/>
  <c r="G110" i="11" s="1"/>
  <c r="F47" i="11"/>
  <c r="F110" i="11" s="1"/>
  <c r="E47" i="11"/>
  <c r="E110" i="11" s="1"/>
  <c r="D47" i="11"/>
  <c r="D110" i="11" s="1"/>
  <c r="C47" i="11"/>
  <c r="C110" i="11" s="1"/>
  <c r="W46" i="11"/>
  <c r="W109" i="11" s="1"/>
  <c r="V46" i="11"/>
  <c r="V109" i="11" s="1"/>
  <c r="U46" i="11"/>
  <c r="U109" i="11" s="1"/>
  <c r="T46" i="11"/>
  <c r="T109" i="11" s="1"/>
  <c r="S46" i="11"/>
  <c r="S109" i="11" s="1"/>
  <c r="R46" i="11"/>
  <c r="R109" i="11" s="1"/>
  <c r="Q46" i="11"/>
  <c r="Q109" i="11" s="1"/>
  <c r="P46" i="11"/>
  <c r="P109" i="11" s="1"/>
  <c r="O46" i="11"/>
  <c r="O109" i="11" s="1"/>
  <c r="N46" i="11"/>
  <c r="N109" i="11" s="1"/>
  <c r="M46" i="11"/>
  <c r="M109" i="11" s="1"/>
  <c r="L46" i="11"/>
  <c r="L109" i="11" s="1"/>
  <c r="K46" i="11"/>
  <c r="K109" i="11" s="1"/>
  <c r="J46" i="11"/>
  <c r="J109" i="11" s="1"/>
  <c r="I46" i="11"/>
  <c r="I109" i="11" s="1"/>
  <c r="H46" i="11"/>
  <c r="H109" i="11" s="1"/>
  <c r="G46" i="11"/>
  <c r="G109" i="11" s="1"/>
  <c r="F46" i="11"/>
  <c r="F109" i="11" s="1"/>
  <c r="E46" i="11"/>
  <c r="E109" i="11" s="1"/>
  <c r="D46" i="11"/>
  <c r="D109" i="11" s="1"/>
  <c r="C46" i="11"/>
  <c r="C109" i="11" s="1"/>
  <c r="W45" i="11"/>
  <c r="W108" i="11" s="1"/>
  <c r="V45" i="11"/>
  <c r="V108" i="11" s="1"/>
  <c r="U45" i="11"/>
  <c r="U108" i="11" s="1"/>
  <c r="T45" i="11"/>
  <c r="T108" i="11" s="1"/>
  <c r="S45" i="11"/>
  <c r="S108" i="11" s="1"/>
  <c r="R45" i="11"/>
  <c r="R108" i="11" s="1"/>
  <c r="Q45" i="11"/>
  <c r="Q108" i="11" s="1"/>
  <c r="P45" i="11"/>
  <c r="P108" i="11" s="1"/>
  <c r="O45" i="11"/>
  <c r="O108" i="11" s="1"/>
  <c r="N45" i="11"/>
  <c r="N108" i="11" s="1"/>
  <c r="M45" i="11"/>
  <c r="M108" i="11" s="1"/>
  <c r="L45" i="11"/>
  <c r="L108" i="11" s="1"/>
  <c r="K45" i="11"/>
  <c r="K108" i="11" s="1"/>
  <c r="J45" i="11"/>
  <c r="J108" i="11" s="1"/>
  <c r="I45" i="11"/>
  <c r="I108" i="11" s="1"/>
  <c r="H45" i="11"/>
  <c r="H108" i="11" s="1"/>
  <c r="G45" i="11"/>
  <c r="G108" i="11" s="1"/>
  <c r="F45" i="11"/>
  <c r="F108" i="11" s="1"/>
  <c r="E45" i="11"/>
  <c r="E108" i="11" s="1"/>
  <c r="D45" i="11"/>
  <c r="D108" i="11" s="1"/>
  <c r="C45" i="11"/>
  <c r="C108" i="11" s="1"/>
  <c r="W44" i="11"/>
  <c r="W107" i="11" s="1"/>
  <c r="V44" i="11"/>
  <c r="V107" i="11" s="1"/>
  <c r="U44" i="11"/>
  <c r="U107" i="11" s="1"/>
  <c r="T44" i="11"/>
  <c r="T107" i="11" s="1"/>
  <c r="S44" i="11"/>
  <c r="S107" i="11" s="1"/>
  <c r="R44" i="11"/>
  <c r="R107" i="11" s="1"/>
  <c r="Q44" i="11"/>
  <c r="Q107" i="11" s="1"/>
  <c r="P44" i="11"/>
  <c r="P107" i="11" s="1"/>
  <c r="O44" i="11"/>
  <c r="O107" i="11" s="1"/>
  <c r="N44" i="11"/>
  <c r="N107" i="11" s="1"/>
  <c r="M44" i="11"/>
  <c r="M107" i="11" s="1"/>
  <c r="L44" i="11"/>
  <c r="L107" i="11" s="1"/>
  <c r="K44" i="11"/>
  <c r="K107" i="11" s="1"/>
  <c r="J44" i="11"/>
  <c r="J107" i="11" s="1"/>
  <c r="I44" i="11"/>
  <c r="I107" i="11" s="1"/>
  <c r="H44" i="11"/>
  <c r="H107" i="11" s="1"/>
  <c r="G44" i="11"/>
  <c r="G107" i="11" s="1"/>
  <c r="F44" i="11"/>
  <c r="F107" i="11" s="1"/>
  <c r="E44" i="11"/>
  <c r="E107" i="11" s="1"/>
  <c r="D44" i="11"/>
  <c r="D107" i="11" s="1"/>
  <c r="C44" i="11"/>
  <c r="C107" i="11" s="1"/>
  <c r="W43" i="11"/>
  <c r="W106" i="11" s="1"/>
  <c r="V43" i="11"/>
  <c r="V106" i="11" s="1"/>
  <c r="U43" i="11"/>
  <c r="U106" i="11" s="1"/>
  <c r="T43" i="11"/>
  <c r="T106" i="11" s="1"/>
  <c r="S43" i="11"/>
  <c r="S106" i="11" s="1"/>
  <c r="R43" i="11"/>
  <c r="R106" i="11" s="1"/>
  <c r="Q43" i="11"/>
  <c r="Q106" i="11" s="1"/>
  <c r="P43" i="11"/>
  <c r="P106" i="11" s="1"/>
  <c r="O43" i="11"/>
  <c r="O106" i="11" s="1"/>
  <c r="N43" i="11"/>
  <c r="N106" i="11" s="1"/>
  <c r="M43" i="11"/>
  <c r="M106" i="11" s="1"/>
  <c r="L43" i="11"/>
  <c r="L106" i="11" s="1"/>
  <c r="K43" i="11"/>
  <c r="K106" i="11" s="1"/>
  <c r="J43" i="11"/>
  <c r="J106" i="11" s="1"/>
  <c r="I43" i="11"/>
  <c r="I106" i="11" s="1"/>
  <c r="H43" i="11"/>
  <c r="H106" i="11" s="1"/>
  <c r="G43" i="11"/>
  <c r="G106" i="11" s="1"/>
  <c r="F43" i="11"/>
  <c r="F106" i="11" s="1"/>
  <c r="E43" i="11"/>
  <c r="E106" i="11" s="1"/>
  <c r="D43" i="11"/>
  <c r="D106" i="11" s="1"/>
  <c r="C43" i="11"/>
  <c r="C106" i="11" s="1"/>
  <c r="W42" i="11"/>
  <c r="W105" i="11" s="1"/>
  <c r="V42" i="11"/>
  <c r="V105" i="11" s="1"/>
  <c r="U42" i="11"/>
  <c r="U105" i="11" s="1"/>
  <c r="T42" i="11"/>
  <c r="T105" i="11" s="1"/>
  <c r="S42" i="11"/>
  <c r="S105" i="11" s="1"/>
  <c r="R42" i="11"/>
  <c r="R105" i="11" s="1"/>
  <c r="Q42" i="11"/>
  <c r="Q105" i="11" s="1"/>
  <c r="P42" i="11"/>
  <c r="P105" i="11" s="1"/>
  <c r="O42" i="11"/>
  <c r="O105" i="11" s="1"/>
  <c r="N42" i="11"/>
  <c r="N105" i="11" s="1"/>
  <c r="M42" i="11"/>
  <c r="M105" i="11" s="1"/>
  <c r="L42" i="11"/>
  <c r="L105" i="11" s="1"/>
  <c r="K42" i="11"/>
  <c r="K105" i="11" s="1"/>
  <c r="J42" i="11"/>
  <c r="J105" i="11" s="1"/>
  <c r="I42" i="11"/>
  <c r="I105" i="11" s="1"/>
  <c r="H42" i="11"/>
  <c r="H105" i="11" s="1"/>
  <c r="G42" i="11"/>
  <c r="G105" i="11" s="1"/>
  <c r="F42" i="11"/>
  <c r="F105" i="11" s="1"/>
  <c r="E42" i="11"/>
  <c r="E105" i="11" s="1"/>
  <c r="D42" i="11"/>
  <c r="D105" i="11" s="1"/>
  <c r="C42" i="11"/>
  <c r="C105" i="11" s="1"/>
  <c r="W41" i="11"/>
  <c r="W104" i="11" s="1"/>
  <c r="V41" i="11"/>
  <c r="V104" i="11" s="1"/>
  <c r="U41" i="11"/>
  <c r="U104" i="11" s="1"/>
  <c r="T41" i="11"/>
  <c r="T104" i="11" s="1"/>
  <c r="S41" i="11"/>
  <c r="S104" i="11" s="1"/>
  <c r="R41" i="11"/>
  <c r="R104" i="11" s="1"/>
  <c r="Q41" i="11"/>
  <c r="Q104" i="11" s="1"/>
  <c r="P41" i="11"/>
  <c r="P104" i="11" s="1"/>
  <c r="O41" i="11"/>
  <c r="O104" i="11" s="1"/>
  <c r="N41" i="11"/>
  <c r="N104" i="11" s="1"/>
  <c r="M41" i="11"/>
  <c r="M104" i="11" s="1"/>
  <c r="L41" i="11"/>
  <c r="L104" i="11" s="1"/>
  <c r="K41" i="11"/>
  <c r="K104" i="11" s="1"/>
  <c r="J41" i="11"/>
  <c r="J104" i="11" s="1"/>
  <c r="I41" i="11"/>
  <c r="I104" i="11" s="1"/>
  <c r="H41" i="11"/>
  <c r="H104" i="11" s="1"/>
  <c r="G41" i="11"/>
  <c r="G104" i="11" s="1"/>
  <c r="F41" i="11"/>
  <c r="F104" i="11" s="1"/>
  <c r="E41" i="11"/>
  <c r="E104" i="11" s="1"/>
  <c r="D41" i="11"/>
  <c r="D104" i="11" s="1"/>
  <c r="C41" i="11"/>
  <c r="C104" i="11" s="1"/>
  <c r="W40" i="11"/>
  <c r="W103" i="11" s="1"/>
  <c r="V40" i="11"/>
  <c r="V103" i="11" s="1"/>
  <c r="U40" i="11"/>
  <c r="U103" i="11" s="1"/>
  <c r="T40" i="11"/>
  <c r="T103" i="11" s="1"/>
  <c r="S40" i="11"/>
  <c r="S103" i="11" s="1"/>
  <c r="R40" i="11"/>
  <c r="R103" i="11" s="1"/>
  <c r="Q40" i="11"/>
  <c r="Q103" i="11" s="1"/>
  <c r="P40" i="11"/>
  <c r="P103" i="11" s="1"/>
  <c r="O40" i="11"/>
  <c r="O103" i="11" s="1"/>
  <c r="N40" i="11"/>
  <c r="N103" i="11" s="1"/>
  <c r="M40" i="11"/>
  <c r="M103" i="11" s="1"/>
  <c r="L40" i="11"/>
  <c r="L103" i="11" s="1"/>
  <c r="K40" i="11"/>
  <c r="K103" i="11" s="1"/>
  <c r="J40" i="11"/>
  <c r="J103" i="11" s="1"/>
  <c r="I40" i="11"/>
  <c r="I103" i="11" s="1"/>
  <c r="H40" i="11"/>
  <c r="H103" i="11" s="1"/>
  <c r="G40" i="11"/>
  <c r="G103" i="11" s="1"/>
  <c r="F40" i="11"/>
  <c r="F103" i="11" s="1"/>
  <c r="E40" i="11"/>
  <c r="E103" i="11" s="1"/>
  <c r="D40" i="11"/>
  <c r="D103" i="11" s="1"/>
  <c r="C40" i="11"/>
  <c r="C103" i="11" s="1"/>
  <c r="W39" i="11"/>
  <c r="W102" i="11" s="1"/>
  <c r="V39" i="11"/>
  <c r="V102" i="11" s="1"/>
  <c r="U39" i="11"/>
  <c r="U102" i="11" s="1"/>
  <c r="T39" i="11"/>
  <c r="T102" i="11" s="1"/>
  <c r="S39" i="11"/>
  <c r="S102" i="11" s="1"/>
  <c r="R39" i="11"/>
  <c r="R102" i="11" s="1"/>
  <c r="Q39" i="11"/>
  <c r="Q102" i="11" s="1"/>
  <c r="P39" i="11"/>
  <c r="P102" i="11" s="1"/>
  <c r="O39" i="11"/>
  <c r="O102" i="11" s="1"/>
  <c r="N39" i="11"/>
  <c r="N102" i="11" s="1"/>
  <c r="M39" i="11"/>
  <c r="M102" i="11" s="1"/>
  <c r="L39" i="11"/>
  <c r="L102" i="11" s="1"/>
  <c r="K39" i="11"/>
  <c r="K102" i="11" s="1"/>
  <c r="J39" i="11"/>
  <c r="J102" i="11" s="1"/>
  <c r="I39" i="11"/>
  <c r="I102" i="11" s="1"/>
  <c r="H39" i="11"/>
  <c r="H102" i="11" s="1"/>
  <c r="G39" i="11"/>
  <c r="G102" i="11" s="1"/>
  <c r="F39" i="11"/>
  <c r="F102" i="11" s="1"/>
  <c r="E39" i="11"/>
  <c r="E102" i="11" s="1"/>
  <c r="D39" i="11"/>
  <c r="D102" i="11" s="1"/>
  <c r="C39" i="11"/>
  <c r="C102" i="11" s="1"/>
  <c r="W38" i="11"/>
  <c r="W101" i="11" s="1"/>
  <c r="V38" i="11"/>
  <c r="V101" i="11" s="1"/>
  <c r="U38" i="11"/>
  <c r="U101" i="11" s="1"/>
  <c r="T38" i="11"/>
  <c r="T101" i="11" s="1"/>
  <c r="S38" i="11"/>
  <c r="S101" i="11" s="1"/>
  <c r="R38" i="11"/>
  <c r="R101" i="11" s="1"/>
  <c r="Q38" i="11"/>
  <c r="Q101" i="11" s="1"/>
  <c r="P38" i="11"/>
  <c r="P101" i="11" s="1"/>
  <c r="O38" i="11"/>
  <c r="O101" i="11" s="1"/>
  <c r="N38" i="11"/>
  <c r="N101" i="11" s="1"/>
  <c r="M38" i="11"/>
  <c r="M101" i="11" s="1"/>
  <c r="L38" i="11"/>
  <c r="L101" i="11" s="1"/>
  <c r="K38" i="11"/>
  <c r="K101" i="11" s="1"/>
  <c r="J38" i="11"/>
  <c r="J101" i="11" s="1"/>
  <c r="I38" i="11"/>
  <c r="I101" i="11" s="1"/>
  <c r="H38" i="11"/>
  <c r="H101" i="11" s="1"/>
  <c r="G38" i="11"/>
  <c r="G101" i="11" s="1"/>
  <c r="F38" i="11"/>
  <c r="F101" i="11" s="1"/>
  <c r="E38" i="11"/>
  <c r="E101" i="11" s="1"/>
  <c r="D38" i="11"/>
  <c r="D101" i="11" s="1"/>
  <c r="C38" i="11"/>
  <c r="C101" i="11" s="1"/>
  <c r="W37" i="11"/>
  <c r="W100" i="11" s="1"/>
  <c r="V37" i="11"/>
  <c r="V100" i="11" s="1"/>
  <c r="U37" i="11"/>
  <c r="U100" i="11" s="1"/>
  <c r="T37" i="11"/>
  <c r="T100" i="11" s="1"/>
  <c r="S37" i="11"/>
  <c r="S100" i="11" s="1"/>
  <c r="R37" i="11"/>
  <c r="R100" i="11" s="1"/>
  <c r="Q37" i="11"/>
  <c r="Q100" i="11" s="1"/>
  <c r="P37" i="11"/>
  <c r="P100" i="11" s="1"/>
  <c r="O37" i="11"/>
  <c r="O100" i="11" s="1"/>
  <c r="N37" i="11"/>
  <c r="N100" i="11" s="1"/>
  <c r="M37" i="11"/>
  <c r="M100" i="11" s="1"/>
  <c r="L37" i="11"/>
  <c r="L100" i="11" s="1"/>
  <c r="K37" i="11"/>
  <c r="K100" i="11" s="1"/>
  <c r="J37" i="11"/>
  <c r="J100" i="11" s="1"/>
  <c r="I37" i="11"/>
  <c r="I100" i="11" s="1"/>
  <c r="H37" i="11"/>
  <c r="H100" i="11" s="1"/>
  <c r="G37" i="11"/>
  <c r="G100" i="11" s="1"/>
  <c r="F37" i="11"/>
  <c r="F100" i="11" s="1"/>
  <c r="E37" i="11"/>
  <c r="E100" i="11" s="1"/>
  <c r="D37" i="11"/>
  <c r="D100" i="11" s="1"/>
  <c r="C37" i="11"/>
  <c r="C100" i="11" s="1"/>
  <c r="W36" i="11"/>
  <c r="W99" i="11" s="1"/>
  <c r="V36" i="11"/>
  <c r="V99" i="11" s="1"/>
  <c r="U36" i="11"/>
  <c r="U99" i="11" s="1"/>
  <c r="T36" i="11"/>
  <c r="T99" i="11" s="1"/>
  <c r="S36" i="11"/>
  <c r="S99" i="11" s="1"/>
  <c r="R36" i="11"/>
  <c r="R99" i="11" s="1"/>
  <c r="Q36" i="11"/>
  <c r="Q99" i="11" s="1"/>
  <c r="P36" i="11"/>
  <c r="P99" i="11" s="1"/>
  <c r="O36" i="11"/>
  <c r="O99" i="11" s="1"/>
  <c r="N36" i="11"/>
  <c r="N99" i="11" s="1"/>
  <c r="M36" i="11"/>
  <c r="M99" i="11" s="1"/>
  <c r="L36" i="11"/>
  <c r="L99" i="11" s="1"/>
  <c r="K36" i="11"/>
  <c r="K99" i="11" s="1"/>
  <c r="J36" i="11"/>
  <c r="J99" i="11" s="1"/>
  <c r="I36" i="11"/>
  <c r="I99" i="11" s="1"/>
  <c r="H36" i="11"/>
  <c r="H99" i="11" s="1"/>
  <c r="G36" i="11"/>
  <c r="G99" i="11" s="1"/>
  <c r="F36" i="11"/>
  <c r="F99" i="11" s="1"/>
  <c r="E36" i="11"/>
  <c r="E99" i="11" s="1"/>
  <c r="D36" i="11"/>
  <c r="D99" i="11" s="1"/>
  <c r="C36" i="11"/>
  <c r="C99" i="11" s="1"/>
  <c r="W35" i="11"/>
  <c r="W98" i="11" s="1"/>
  <c r="V35" i="11"/>
  <c r="V98" i="11" s="1"/>
  <c r="U35" i="11"/>
  <c r="U98" i="11" s="1"/>
  <c r="T35" i="11"/>
  <c r="T98" i="11" s="1"/>
  <c r="S35" i="11"/>
  <c r="S98" i="11" s="1"/>
  <c r="R35" i="11"/>
  <c r="R98" i="11" s="1"/>
  <c r="Q35" i="11"/>
  <c r="Q98" i="11" s="1"/>
  <c r="P35" i="11"/>
  <c r="P98" i="11" s="1"/>
  <c r="O35" i="11"/>
  <c r="O98" i="11" s="1"/>
  <c r="N35" i="11"/>
  <c r="N98" i="11" s="1"/>
  <c r="M35" i="11"/>
  <c r="M98" i="11" s="1"/>
  <c r="L35" i="11"/>
  <c r="L98" i="11" s="1"/>
  <c r="K35" i="11"/>
  <c r="K98" i="11" s="1"/>
  <c r="J35" i="11"/>
  <c r="J98" i="11" s="1"/>
  <c r="I35" i="11"/>
  <c r="I98" i="11" s="1"/>
  <c r="H35" i="11"/>
  <c r="H98" i="11" s="1"/>
  <c r="G35" i="11"/>
  <c r="G98" i="11" s="1"/>
  <c r="F35" i="11"/>
  <c r="F98" i="11" s="1"/>
  <c r="E35" i="11"/>
  <c r="E98" i="11" s="1"/>
  <c r="D35" i="11"/>
  <c r="D98" i="11" s="1"/>
  <c r="C35" i="11"/>
  <c r="C98" i="11" s="1"/>
  <c r="W34" i="11"/>
  <c r="W97" i="11" s="1"/>
  <c r="V34" i="11"/>
  <c r="V97" i="11" s="1"/>
  <c r="U34" i="11"/>
  <c r="U97" i="11" s="1"/>
  <c r="T34" i="11"/>
  <c r="T97" i="11" s="1"/>
  <c r="S34" i="11"/>
  <c r="S97" i="11" s="1"/>
  <c r="R34" i="11"/>
  <c r="R97" i="11" s="1"/>
  <c r="Q34" i="11"/>
  <c r="Q97" i="11" s="1"/>
  <c r="P34" i="11"/>
  <c r="P97" i="11" s="1"/>
  <c r="O34" i="11"/>
  <c r="O97" i="11" s="1"/>
  <c r="N34" i="11"/>
  <c r="N97" i="11" s="1"/>
  <c r="M34" i="11"/>
  <c r="M97" i="11" s="1"/>
  <c r="L34" i="11"/>
  <c r="L97" i="11" s="1"/>
  <c r="K34" i="11"/>
  <c r="K97" i="11" s="1"/>
  <c r="J34" i="11"/>
  <c r="J97" i="11" s="1"/>
  <c r="I34" i="11"/>
  <c r="I97" i="11" s="1"/>
  <c r="H34" i="11"/>
  <c r="H97" i="11" s="1"/>
  <c r="G34" i="11"/>
  <c r="G97" i="11" s="1"/>
  <c r="F34" i="11"/>
  <c r="F97" i="11" s="1"/>
  <c r="E34" i="11"/>
  <c r="E97" i="11" s="1"/>
  <c r="D34" i="11"/>
  <c r="D97" i="11" s="1"/>
  <c r="C34" i="11"/>
  <c r="C97" i="11" s="1"/>
  <c r="W33" i="11"/>
  <c r="W96" i="11" s="1"/>
  <c r="V33" i="11"/>
  <c r="V96" i="11" s="1"/>
  <c r="U33" i="11"/>
  <c r="U96" i="11" s="1"/>
  <c r="T33" i="11"/>
  <c r="T96" i="11" s="1"/>
  <c r="S33" i="11"/>
  <c r="S96" i="11" s="1"/>
  <c r="R33" i="11"/>
  <c r="R96" i="11" s="1"/>
  <c r="Q33" i="11"/>
  <c r="Q96" i="11" s="1"/>
  <c r="P33" i="11"/>
  <c r="P96" i="11" s="1"/>
  <c r="O33" i="11"/>
  <c r="O96" i="11" s="1"/>
  <c r="N33" i="11"/>
  <c r="N96" i="11" s="1"/>
  <c r="M33" i="11"/>
  <c r="M96" i="11" s="1"/>
  <c r="L33" i="11"/>
  <c r="L96" i="11" s="1"/>
  <c r="K33" i="11"/>
  <c r="K96" i="11" s="1"/>
  <c r="J33" i="11"/>
  <c r="J96" i="11" s="1"/>
  <c r="I33" i="11"/>
  <c r="I96" i="11" s="1"/>
  <c r="H33" i="11"/>
  <c r="H96" i="11" s="1"/>
  <c r="G33" i="11"/>
  <c r="G96" i="11" s="1"/>
  <c r="F33" i="11"/>
  <c r="F96" i="11" s="1"/>
  <c r="E33" i="11"/>
  <c r="E96" i="11" s="1"/>
  <c r="D33" i="11"/>
  <c r="D96" i="11" s="1"/>
  <c r="C33" i="11"/>
  <c r="C96" i="11" s="1"/>
  <c r="W32" i="11"/>
  <c r="W95" i="11" s="1"/>
  <c r="V32" i="11"/>
  <c r="V95" i="11" s="1"/>
  <c r="U32" i="11"/>
  <c r="U95" i="11" s="1"/>
  <c r="T32" i="11"/>
  <c r="T95" i="11" s="1"/>
  <c r="S32" i="11"/>
  <c r="S95" i="11" s="1"/>
  <c r="R32" i="11"/>
  <c r="R95" i="11" s="1"/>
  <c r="Q32" i="11"/>
  <c r="Q95" i="11" s="1"/>
  <c r="P32" i="11"/>
  <c r="P95" i="11" s="1"/>
  <c r="O32" i="11"/>
  <c r="O95" i="11" s="1"/>
  <c r="N32" i="11"/>
  <c r="N95" i="11" s="1"/>
  <c r="M32" i="11"/>
  <c r="M95" i="11" s="1"/>
  <c r="L32" i="11"/>
  <c r="L95" i="11" s="1"/>
  <c r="K32" i="11"/>
  <c r="K95" i="11" s="1"/>
  <c r="J32" i="11"/>
  <c r="J95" i="11" s="1"/>
  <c r="I32" i="11"/>
  <c r="I95" i="11" s="1"/>
  <c r="H32" i="11"/>
  <c r="H95" i="11" s="1"/>
  <c r="G32" i="11"/>
  <c r="G95" i="11" s="1"/>
  <c r="F32" i="11"/>
  <c r="F95" i="11" s="1"/>
  <c r="E32" i="11"/>
  <c r="E95" i="11" s="1"/>
  <c r="D32" i="11"/>
  <c r="D95" i="11" s="1"/>
  <c r="C32" i="11"/>
  <c r="C95" i="11" s="1"/>
  <c r="W31" i="11"/>
  <c r="W94" i="11" s="1"/>
  <c r="V31" i="11"/>
  <c r="V94" i="11" s="1"/>
  <c r="U31" i="11"/>
  <c r="U94" i="11" s="1"/>
  <c r="T31" i="11"/>
  <c r="T94" i="11" s="1"/>
  <c r="S31" i="11"/>
  <c r="S94" i="11" s="1"/>
  <c r="R31" i="11"/>
  <c r="R94" i="11" s="1"/>
  <c r="Q31" i="11"/>
  <c r="Q94" i="11" s="1"/>
  <c r="P31" i="11"/>
  <c r="P94" i="11" s="1"/>
  <c r="O31" i="11"/>
  <c r="O94" i="11" s="1"/>
  <c r="N31" i="11"/>
  <c r="N94" i="11" s="1"/>
  <c r="M31" i="11"/>
  <c r="M94" i="11" s="1"/>
  <c r="L31" i="11"/>
  <c r="L94" i="11" s="1"/>
  <c r="K31" i="11"/>
  <c r="K94" i="11" s="1"/>
  <c r="J31" i="11"/>
  <c r="J94" i="11" s="1"/>
  <c r="I31" i="11"/>
  <c r="I94" i="11" s="1"/>
  <c r="H31" i="11"/>
  <c r="H94" i="11" s="1"/>
  <c r="G31" i="11"/>
  <c r="G94" i="11" s="1"/>
  <c r="F31" i="11"/>
  <c r="F94" i="11" s="1"/>
  <c r="E31" i="11"/>
  <c r="E94" i="11" s="1"/>
  <c r="D31" i="11"/>
  <c r="D94" i="11" s="1"/>
  <c r="C31" i="11"/>
  <c r="C94" i="11" s="1"/>
  <c r="W30" i="11"/>
  <c r="W93" i="11" s="1"/>
  <c r="V30" i="11"/>
  <c r="V93" i="11" s="1"/>
  <c r="U30" i="11"/>
  <c r="U93" i="11" s="1"/>
  <c r="T30" i="11"/>
  <c r="T93" i="11" s="1"/>
  <c r="S30" i="11"/>
  <c r="S93" i="11" s="1"/>
  <c r="R30" i="11"/>
  <c r="R93" i="11" s="1"/>
  <c r="Q30" i="11"/>
  <c r="Q93" i="11" s="1"/>
  <c r="P30" i="11"/>
  <c r="P93" i="11" s="1"/>
  <c r="O30" i="11"/>
  <c r="O93" i="11" s="1"/>
  <c r="N30" i="11"/>
  <c r="N93" i="11" s="1"/>
  <c r="M30" i="11"/>
  <c r="M93" i="11" s="1"/>
  <c r="L30" i="11"/>
  <c r="L93" i="11" s="1"/>
  <c r="K30" i="11"/>
  <c r="K93" i="11" s="1"/>
  <c r="J30" i="11"/>
  <c r="J93" i="11" s="1"/>
  <c r="I30" i="11"/>
  <c r="I93" i="11" s="1"/>
  <c r="H30" i="11"/>
  <c r="H93" i="11" s="1"/>
  <c r="G30" i="11"/>
  <c r="G93" i="11" s="1"/>
  <c r="F30" i="11"/>
  <c r="F93" i="11" s="1"/>
  <c r="E30" i="11"/>
  <c r="E93" i="11" s="1"/>
  <c r="D30" i="11"/>
  <c r="D93" i="11" s="1"/>
  <c r="C30" i="11"/>
  <c r="C93" i="11" s="1"/>
  <c r="W29" i="11"/>
  <c r="W92" i="11" s="1"/>
  <c r="V29" i="11"/>
  <c r="V92" i="11" s="1"/>
  <c r="U29" i="11"/>
  <c r="U92" i="11" s="1"/>
  <c r="T29" i="11"/>
  <c r="T92" i="11" s="1"/>
  <c r="S29" i="11"/>
  <c r="S92" i="11" s="1"/>
  <c r="R29" i="11"/>
  <c r="R92" i="11" s="1"/>
  <c r="Q29" i="11"/>
  <c r="Q92" i="11" s="1"/>
  <c r="P29" i="11"/>
  <c r="P92" i="11" s="1"/>
  <c r="O29" i="11"/>
  <c r="O92" i="11" s="1"/>
  <c r="N29" i="11"/>
  <c r="N92" i="11" s="1"/>
  <c r="M29" i="11"/>
  <c r="M92" i="11" s="1"/>
  <c r="L29" i="11"/>
  <c r="L92" i="11" s="1"/>
  <c r="K29" i="11"/>
  <c r="K92" i="11" s="1"/>
  <c r="J29" i="11"/>
  <c r="J92" i="11" s="1"/>
  <c r="I29" i="11"/>
  <c r="I92" i="11" s="1"/>
  <c r="H29" i="11"/>
  <c r="H92" i="11" s="1"/>
  <c r="G29" i="11"/>
  <c r="G92" i="11" s="1"/>
  <c r="F29" i="11"/>
  <c r="F92" i="11" s="1"/>
  <c r="E29" i="11"/>
  <c r="E92" i="11" s="1"/>
  <c r="D29" i="11"/>
  <c r="D92" i="11" s="1"/>
  <c r="C29" i="11"/>
  <c r="C92" i="11" s="1"/>
  <c r="W28" i="11"/>
  <c r="W91" i="11" s="1"/>
  <c r="V28" i="11"/>
  <c r="V91" i="11" s="1"/>
  <c r="U28" i="11"/>
  <c r="U91" i="11" s="1"/>
  <c r="T28" i="11"/>
  <c r="T91" i="11" s="1"/>
  <c r="S28" i="11"/>
  <c r="S91" i="11" s="1"/>
  <c r="R28" i="11"/>
  <c r="R91" i="11" s="1"/>
  <c r="Q28" i="11"/>
  <c r="Q91" i="11" s="1"/>
  <c r="P28" i="11"/>
  <c r="P91" i="11" s="1"/>
  <c r="O28" i="11"/>
  <c r="O91" i="11" s="1"/>
  <c r="N28" i="11"/>
  <c r="N91" i="11" s="1"/>
  <c r="M28" i="11"/>
  <c r="M91" i="11" s="1"/>
  <c r="L28" i="11"/>
  <c r="L91" i="11" s="1"/>
  <c r="K28" i="11"/>
  <c r="K91" i="11" s="1"/>
  <c r="J28" i="11"/>
  <c r="J91" i="11" s="1"/>
  <c r="I28" i="11"/>
  <c r="I91" i="11" s="1"/>
  <c r="H28" i="11"/>
  <c r="H91" i="11" s="1"/>
  <c r="G28" i="11"/>
  <c r="G91" i="11" s="1"/>
  <c r="F28" i="11"/>
  <c r="F91" i="11" s="1"/>
  <c r="E28" i="11"/>
  <c r="E91" i="11" s="1"/>
  <c r="D28" i="11"/>
  <c r="D91" i="11" s="1"/>
  <c r="C28" i="11"/>
  <c r="C91" i="11" s="1"/>
  <c r="W27" i="11"/>
  <c r="W90" i="11" s="1"/>
  <c r="V27" i="11"/>
  <c r="V90" i="11" s="1"/>
  <c r="U27" i="11"/>
  <c r="U90" i="11" s="1"/>
  <c r="T27" i="11"/>
  <c r="T90" i="11" s="1"/>
  <c r="S27" i="11"/>
  <c r="S90" i="11" s="1"/>
  <c r="R27" i="11"/>
  <c r="R90" i="11" s="1"/>
  <c r="Q27" i="11"/>
  <c r="Q90" i="11" s="1"/>
  <c r="P27" i="11"/>
  <c r="P90" i="11" s="1"/>
  <c r="O27" i="11"/>
  <c r="O90" i="11" s="1"/>
  <c r="N27" i="11"/>
  <c r="N90" i="11" s="1"/>
  <c r="M27" i="11"/>
  <c r="M90" i="11" s="1"/>
  <c r="L27" i="11"/>
  <c r="L90" i="11" s="1"/>
  <c r="K27" i="11"/>
  <c r="K90" i="11" s="1"/>
  <c r="J27" i="11"/>
  <c r="J90" i="11" s="1"/>
  <c r="I27" i="11"/>
  <c r="I90" i="11" s="1"/>
  <c r="H27" i="11"/>
  <c r="H90" i="11" s="1"/>
  <c r="G27" i="11"/>
  <c r="G90" i="11" s="1"/>
  <c r="F27" i="11"/>
  <c r="F90" i="11" s="1"/>
  <c r="E27" i="11"/>
  <c r="E90" i="11" s="1"/>
  <c r="D27" i="11"/>
  <c r="D90" i="11" s="1"/>
  <c r="C27" i="11"/>
  <c r="C90" i="11" s="1"/>
  <c r="W26" i="11"/>
  <c r="W89" i="11" s="1"/>
  <c r="V26" i="11"/>
  <c r="V89" i="11" s="1"/>
  <c r="U26" i="11"/>
  <c r="U89" i="11" s="1"/>
  <c r="T26" i="11"/>
  <c r="T89" i="11" s="1"/>
  <c r="S26" i="11"/>
  <c r="S89" i="11" s="1"/>
  <c r="R26" i="11"/>
  <c r="R89" i="11" s="1"/>
  <c r="Q26" i="11"/>
  <c r="Q89" i="11" s="1"/>
  <c r="P26" i="11"/>
  <c r="P89" i="11" s="1"/>
  <c r="O26" i="11"/>
  <c r="O89" i="11" s="1"/>
  <c r="N26" i="11"/>
  <c r="N89" i="11" s="1"/>
  <c r="M26" i="11"/>
  <c r="M89" i="11" s="1"/>
  <c r="L26" i="11"/>
  <c r="L89" i="11" s="1"/>
  <c r="K26" i="11"/>
  <c r="K89" i="11" s="1"/>
  <c r="J26" i="11"/>
  <c r="J89" i="11" s="1"/>
  <c r="I26" i="11"/>
  <c r="I89" i="11" s="1"/>
  <c r="H26" i="11"/>
  <c r="H89" i="11" s="1"/>
  <c r="G26" i="11"/>
  <c r="G89" i="11" s="1"/>
  <c r="F26" i="11"/>
  <c r="F89" i="11" s="1"/>
  <c r="E26" i="11"/>
  <c r="E89" i="11" s="1"/>
  <c r="D26" i="11"/>
  <c r="D89" i="11" s="1"/>
  <c r="C26" i="11"/>
  <c r="C89" i="11" s="1"/>
  <c r="W25" i="11"/>
  <c r="W88" i="11" s="1"/>
  <c r="V25" i="11"/>
  <c r="V88" i="11" s="1"/>
  <c r="U25" i="11"/>
  <c r="U88" i="11" s="1"/>
  <c r="T25" i="11"/>
  <c r="T88" i="11" s="1"/>
  <c r="S25" i="11"/>
  <c r="S88" i="11" s="1"/>
  <c r="R25" i="11"/>
  <c r="R88" i="11" s="1"/>
  <c r="Q25" i="11"/>
  <c r="Q88" i="11" s="1"/>
  <c r="P25" i="11"/>
  <c r="P88" i="11" s="1"/>
  <c r="O25" i="11"/>
  <c r="O88" i="11" s="1"/>
  <c r="N25" i="11"/>
  <c r="N88" i="11" s="1"/>
  <c r="M25" i="11"/>
  <c r="M88" i="11" s="1"/>
  <c r="L25" i="11"/>
  <c r="L88" i="11" s="1"/>
  <c r="K25" i="11"/>
  <c r="K88" i="11" s="1"/>
  <c r="J25" i="11"/>
  <c r="J88" i="11" s="1"/>
  <c r="I25" i="11"/>
  <c r="I88" i="11" s="1"/>
  <c r="H25" i="11"/>
  <c r="H88" i="11" s="1"/>
  <c r="G25" i="11"/>
  <c r="G88" i="11" s="1"/>
  <c r="F25" i="11"/>
  <c r="F88" i="11" s="1"/>
  <c r="E25" i="11"/>
  <c r="E88" i="11" s="1"/>
  <c r="D25" i="11"/>
  <c r="D88" i="11" s="1"/>
  <c r="C25" i="11"/>
  <c r="C88" i="11" s="1"/>
  <c r="W24" i="11"/>
  <c r="W87" i="11" s="1"/>
  <c r="V24" i="11"/>
  <c r="V87" i="11" s="1"/>
  <c r="U24" i="11"/>
  <c r="U87" i="11" s="1"/>
  <c r="T24" i="11"/>
  <c r="T87" i="11" s="1"/>
  <c r="S24" i="11"/>
  <c r="S87" i="11" s="1"/>
  <c r="R24" i="11"/>
  <c r="R87" i="11" s="1"/>
  <c r="Q24" i="11"/>
  <c r="Q87" i="11" s="1"/>
  <c r="P24" i="11"/>
  <c r="P87" i="11" s="1"/>
  <c r="O24" i="11"/>
  <c r="O87" i="11" s="1"/>
  <c r="N24" i="11"/>
  <c r="N87" i="11" s="1"/>
  <c r="M24" i="11"/>
  <c r="M87" i="11" s="1"/>
  <c r="L24" i="11"/>
  <c r="L87" i="11" s="1"/>
  <c r="K24" i="11"/>
  <c r="K87" i="11" s="1"/>
  <c r="J24" i="11"/>
  <c r="J87" i="11" s="1"/>
  <c r="I24" i="11"/>
  <c r="I87" i="11" s="1"/>
  <c r="H24" i="11"/>
  <c r="H87" i="11" s="1"/>
  <c r="G24" i="11"/>
  <c r="G87" i="11" s="1"/>
  <c r="F24" i="11"/>
  <c r="F87" i="11" s="1"/>
  <c r="E24" i="11"/>
  <c r="E87" i="11" s="1"/>
  <c r="D24" i="11"/>
  <c r="D87" i="11" s="1"/>
  <c r="C24" i="11"/>
  <c r="C87" i="11" s="1"/>
  <c r="W23" i="11"/>
  <c r="W86" i="11" s="1"/>
  <c r="V23" i="11"/>
  <c r="V86" i="11" s="1"/>
  <c r="U23" i="11"/>
  <c r="U86" i="11" s="1"/>
  <c r="T23" i="11"/>
  <c r="T86" i="11" s="1"/>
  <c r="S23" i="11"/>
  <c r="S86" i="11" s="1"/>
  <c r="R23" i="11"/>
  <c r="R86" i="11" s="1"/>
  <c r="Q23" i="11"/>
  <c r="Q86" i="11" s="1"/>
  <c r="P23" i="11"/>
  <c r="P86" i="11" s="1"/>
  <c r="O23" i="11"/>
  <c r="O86" i="11" s="1"/>
  <c r="N23" i="11"/>
  <c r="N86" i="11" s="1"/>
  <c r="M23" i="11"/>
  <c r="M86" i="11" s="1"/>
  <c r="L23" i="11"/>
  <c r="L86" i="11" s="1"/>
  <c r="K23" i="11"/>
  <c r="K86" i="11" s="1"/>
  <c r="J23" i="11"/>
  <c r="J86" i="11" s="1"/>
  <c r="I23" i="11"/>
  <c r="I86" i="11" s="1"/>
  <c r="H23" i="11"/>
  <c r="H86" i="11" s="1"/>
  <c r="G23" i="11"/>
  <c r="G86" i="11" s="1"/>
  <c r="F23" i="11"/>
  <c r="F86" i="11" s="1"/>
  <c r="E23" i="11"/>
  <c r="E86" i="11" s="1"/>
  <c r="D23" i="11"/>
  <c r="D86" i="11" s="1"/>
  <c r="C23" i="11"/>
  <c r="C86" i="11" s="1"/>
  <c r="W22" i="11"/>
  <c r="W85" i="11" s="1"/>
  <c r="V22" i="11"/>
  <c r="V85" i="11" s="1"/>
  <c r="U22" i="11"/>
  <c r="U85" i="11" s="1"/>
  <c r="T22" i="11"/>
  <c r="T85" i="11" s="1"/>
  <c r="S22" i="11"/>
  <c r="S85" i="11" s="1"/>
  <c r="R22" i="11"/>
  <c r="R85" i="11" s="1"/>
  <c r="Q22" i="11"/>
  <c r="Q85" i="11" s="1"/>
  <c r="P22" i="11"/>
  <c r="P85" i="11" s="1"/>
  <c r="O22" i="11"/>
  <c r="O85" i="11" s="1"/>
  <c r="N22" i="11"/>
  <c r="N85" i="11" s="1"/>
  <c r="M22" i="11"/>
  <c r="M85" i="11" s="1"/>
  <c r="L22" i="11"/>
  <c r="L85" i="11" s="1"/>
  <c r="K22" i="11"/>
  <c r="K85" i="11" s="1"/>
  <c r="J22" i="11"/>
  <c r="J85" i="11" s="1"/>
  <c r="I22" i="11"/>
  <c r="I85" i="11" s="1"/>
  <c r="H22" i="11"/>
  <c r="H85" i="11" s="1"/>
  <c r="G22" i="11"/>
  <c r="G85" i="11" s="1"/>
  <c r="F22" i="11"/>
  <c r="F85" i="11" s="1"/>
  <c r="E22" i="11"/>
  <c r="E85" i="11" s="1"/>
  <c r="D22" i="11"/>
  <c r="D85" i="11" s="1"/>
  <c r="C85" i="11"/>
  <c r="X22" i="7"/>
  <c r="W22" i="7"/>
  <c r="Y22" i="7"/>
  <c r="Z22" i="7"/>
  <c r="AA22" i="7"/>
  <c r="AB22" i="7"/>
  <c r="AC22" i="7"/>
  <c r="AD2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AH22" i="7"/>
  <c r="AI22" i="7"/>
  <c r="AJ22" i="7"/>
  <c r="AK22" i="7"/>
  <c r="AL22" i="7"/>
  <c r="AM22" i="7"/>
  <c r="AN22" i="7"/>
  <c r="AO22" i="7"/>
  <c r="AP22" i="7"/>
  <c r="AH23" i="7"/>
  <c r="AI23" i="7"/>
  <c r="AJ23" i="7"/>
  <c r="AK23" i="7"/>
  <c r="AL23" i="7"/>
  <c r="AM23" i="7"/>
  <c r="AN23" i="7"/>
  <c r="AO23" i="7"/>
  <c r="AP23" i="7"/>
  <c r="AH24" i="7"/>
  <c r="AI24" i="7"/>
  <c r="AJ24" i="7"/>
  <c r="AK24" i="7"/>
  <c r="AL24" i="7"/>
  <c r="AM24" i="7"/>
  <c r="AN24" i="7"/>
  <c r="AO24" i="7"/>
  <c r="AP24" i="7"/>
  <c r="AH25" i="7"/>
  <c r="AI25" i="7"/>
  <c r="AJ25" i="7"/>
  <c r="AK25" i="7"/>
  <c r="AL25" i="7"/>
  <c r="AM25" i="7"/>
  <c r="AN25" i="7"/>
  <c r="AO25" i="7"/>
  <c r="AP25" i="7"/>
  <c r="AH26" i="7"/>
  <c r="AI26" i="7"/>
  <c r="AJ26" i="7"/>
  <c r="AK26" i="7"/>
  <c r="AL26" i="7"/>
  <c r="AM26" i="7"/>
  <c r="AN26" i="7"/>
  <c r="AO26" i="7"/>
  <c r="AP26" i="7"/>
  <c r="AH27" i="7"/>
  <c r="AI27" i="7"/>
  <c r="AJ27" i="7"/>
  <c r="AK27" i="7"/>
  <c r="AL27" i="7"/>
  <c r="AM27" i="7"/>
  <c r="AN27" i="7"/>
  <c r="AO27" i="7"/>
  <c r="AP27" i="7"/>
  <c r="AH28" i="7"/>
  <c r="AI28" i="7"/>
  <c r="AJ28" i="7"/>
  <c r="AK28" i="7"/>
  <c r="AL28" i="7"/>
  <c r="AM28" i="7"/>
  <c r="AN28" i="7"/>
  <c r="AO28" i="7"/>
  <c r="AP28" i="7"/>
  <c r="AH29" i="7"/>
  <c r="AI29" i="7"/>
  <c r="AJ29" i="7"/>
  <c r="AK29" i="7"/>
  <c r="AL29" i="7"/>
  <c r="AM29" i="7"/>
  <c r="AN29" i="7"/>
  <c r="AO29" i="7"/>
  <c r="AP29" i="7"/>
  <c r="AH30" i="7"/>
  <c r="AI30" i="7"/>
  <c r="AJ30" i="7"/>
  <c r="AK30" i="7"/>
  <c r="AL30" i="7"/>
  <c r="AM30" i="7"/>
  <c r="AN30" i="7"/>
  <c r="AO30" i="7"/>
  <c r="AP30" i="7"/>
  <c r="AH31" i="7"/>
  <c r="AI31" i="7"/>
  <c r="AJ31" i="7"/>
  <c r="AK31" i="7"/>
  <c r="AL31" i="7"/>
  <c r="AM31" i="7"/>
  <c r="AN31" i="7"/>
  <c r="AO31" i="7"/>
  <c r="AP31" i="7"/>
  <c r="AH32" i="7"/>
  <c r="AI32" i="7"/>
  <c r="AJ32" i="7"/>
  <c r="AK32" i="7"/>
  <c r="AL32" i="7"/>
  <c r="AM32" i="7"/>
  <c r="AN32" i="7"/>
  <c r="AO32" i="7"/>
  <c r="AP32" i="7"/>
  <c r="AH33" i="7"/>
  <c r="AI33" i="7"/>
  <c r="AJ33" i="7"/>
  <c r="AK33" i="7"/>
  <c r="AL33" i="7"/>
  <c r="AM33" i="7"/>
  <c r="AN33" i="7"/>
  <c r="AO33" i="7"/>
  <c r="AP33" i="7"/>
  <c r="AH34" i="7"/>
  <c r="AI34" i="7"/>
  <c r="AJ34" i="7"/>
  <c r="AK34" i="7"/>
  <c r="AL34" i="7"/>
  <c r="AM34" i="7"/>
  <c r="AN34" i="7"/>
  <c r="AO34" i="7"/>
  <c r="AP34" i="7"/>
  <c r="AH35" i="7"/>
  <c r="AI35" i="7"/>
  <c r="AJ35" i="7"/>
  <c r="AK35" i="7"/>
  <c r="AL35" i="7"/>
  <c r="AM35" i="7"/>
  <c r="AN35" i="7"/>
  <c r="AO35" i="7"/>
  <c r="AP35" i="7"/>
  <c r="AH36" i="7"/>
  <c r="AI36" i="7"/>
  <c r="AJ36" i="7"/>
  <c r="AK36" i="7"/>
  <c r="AL36" i="7"/>
  <c r="AM36" i="7"/>
  <c r="AN36" i="7"/>
  <c r="AO36" i="7"/>
  <c r="AP36" i="7"/>
  <c r="AH37" i="7"/>
  <c r="AI37" i="7"/>
  <c r="AJ37" i="7"/>
  <c r="AK37" i="7"/>
  <c r="AL37" i="7"/>
  <c r="AM37" i="7"/>
  <c r="AN37" i="7"/>
  <c r="AO37" i="7"/>
  <c r="AP37" i="7"/>
  <c r="AH38" i="7"/>
  <c r="AI38" i="7"/>
  <c r="AJ38" i="7"/>
  <c r="AK38" i="7"/>
  <c r="AL38" i="7"/>
  <c r="AM38" i="7"/>
  <c r="AN38" i="7"/>
  <c r="AO38" i="7"/>
  <c r="AP38" i="7"/>
  <c r="AH39" i="7"/>
  <c r="AI39" i="7"/>
  <c r="AJ39" i="7"/>
  <c r="AK39" i="7"/>
  <c r="AL39" i="7"/>
  <c r="AM39" i="7"/>
  <c r="AN39" i="7"/>
  <c r="AO39" i="7"/>
  <c r="AP39" i="7"/>
  <c r="AH40" i="7"/>
  <c r="AI40" i="7"/>
  <c r="AJ40" i="7"/>
  <c r="AK40" i="7"/>
  <c r="AL40" i="7"/>
  <c r="AM40" i="7"/>
  <c r="AN40" i="7"/>
  <c r="AO40" i="7"/>
  <c r="AP40" i="7"/>
  <c r="AH41" i="7"/>
  <c r="AI41" i="7"/>
  <c r="AJ41" i="7"/>
  <c r="AK41" i="7"/>
  <c r="AL41" i="7"/>
  <c r="AM41" i="7"/>
  <c r="AN41" i="7"/>
  <c r="AO41" i="7"/>
  <c r="AP41" i="7"/>
  <c r="AE22" i="7"/>
  <c r="AF22" i="7"/>
  <c r="AG22" i="7"/>
  <c r="AD23" i="7"/>
  <c r="AE23" i="7"/>
  <c r="AF23" i="7"/>
  <c r="AG23" i="7"/>
  <c r="AD24" i="7"/>
  <c r="AE24" i="7"/>
  <c r="AF24" i="7"/>
  <c r="AG24" i="7"/>
  <c r="AD25" i="7"/>
  <c r="AE25" i="7"/>
  <c r="AF25" i="7"/>
  <c r="AG25" i="7"/>
  <c r="AD26" i="7"/>
  <c r="AE26" i="7"/>
  <c r="AF26" i="7"/>
  <c r="AG26" i="7"/>
  <c r="AD27" i="7"/>
  <c r="AE27" i="7"/>
  <c r="AF27" i="7"/>
  <c r="AG27" i="7"/>
  <c r="AD28" i="7"/>
  <c r="AE28" i="7"/>
  <c r="AF28" i="7"/>
  <c r="AG28" i="7"/>
  <c r="AD29" i="7"/>
  <c r="AE29" i="7"/>
  <c r="AF29" i="7"/>
  <c r="AG29" i="7"/>
  <c r="AD30" i="7"/>
  <c r="AE30" i="7"/>
  <c r="AF30" i="7"/>
  <c r="AG30" i="7"/>
  <c r="AD31" i="7"/>
  <c r="AE31" i="7"/>
  <c r="AF31" i="7"/>
  <c r="AG31" i="7"/>
  <c r="AD32" i="7"/>
  <c r="AE32" i="7"/>
  <c r="AF32" i="7"/>
  <c r="AG32" i="7"/>
  <c r="AD33" i="7"/>
  <c r="AE33" i="7"/>
  <c r="AF33" i="7"/>
  <c r="AG33" i="7"/>
  <c r="AD34" i="7"/>
  <c r="AE34" i="7"/>
  <c r="AF34" i="7"/>
  <c r="AG34" i="7"/>
  <c r="AD35" i="7"/>
  <c r="AE35" i="7"/>
  <c r="AF35" i="7"/>
  <c r="AG35" i="7"/>
  <c r="AD36" i="7"/>
  <c r="AE36" i="7"/>
  <c r="AF36" i="7"/>
  <c r="AG36" i="7"/>
  <c r="AD37" i="7"/>
  <c r="AE37" i="7"/>
  <c r="AF37" i="7"/>
  <c r="AG37" i="7"/>
  <c r="AD38" i="7"/>
  <c r="AE38" i="7"/>
  <c r="AF38" i="7"/>
  <c r="AG38" i="7"/>
  <c r="AD39" i="7"/>
  <c r="AE39" i="7"/>
  <c r="AF39" i="7"/>
  <c r="AG39" i="7"/>
  <c r="AD40" i="7"/>
  <c r="AE40" i="7"/>
  <c r="AF40" i="7"/>
  <c r="AG40" i="7"/>
  <c r="AD41" i="7"/>
  <c r="AE41" i="7"/>
  <c r="AF41" i="7"/>
  <c r="AG41" i="7"/>
  <c r="AB23" i="7"/>
  <c r="AC23" i="7"/>
  <c r="AB24" i="7"/>
  <c r="AC24" i="7"/>
  <c r="AB25" i="7"/>
  <c r="AC25" i="7"/>
  <c r="AB26" i="7"/>
  <c r="AC26" i="7"/>
  <c r="AB27" i="7"/>
  <c r="AC27" i="7"/>
  <c r="AB28" i="7"/>
  <c r="AC28" i="7"/>
  <c r="AB29" i="7"/>
  <c r="AC29" i="7"/>
  <c r="AB30" i="7"/>
  <c r="AC30" i="7"/>
  <c r="AB31" i="7"/>
  <c r="AC31" i="7"/>
  <c r="AB32" i="7"/>
  <c r="AC32" i="7"/>
  <c r="AB33" i="7"/>
  <c r="AC33" i="7"/>
  <c r="AB34" i="7"/>
  <c r="AC34" i="7"/>
  <c r="AB35" i="7"/>
  <c r="AC35" i="7"/>
  <c r="AB36" i="7"/>
  <c r="AC36" i="7"/>
  <c r="AB37" i="7"/>
  <c r="AC37" i="7"/>
  <c r="AB38" i="7"/>
  <c r="AC38" i="7"/>
  <c r="AB39" i="7"/>
  <c r="AC39" i="7"/>
  <c r="AB40" i="7"/>
  <c r="AC40" i="7"/>
  <c r="AB41" i="7"/>
  <c r="AC41" i="7"/>
  <c r="Z23" i="7"/>
  <c r="AA23" i="7"/>
  <c r="Z24" i="7"/>
  <c r="AA24" i="7"/>
  <c r="Z25" i="7"/>
  <c r="AA25" i="7"/>
  <c r="Z26" i="7"/>
  <c r="AA26" i="7"/>
  <c r="Z27" i="7"/>
  <c r="AA27" i="7"/>
  <c r="Z28" i="7"/>
  <c r="AA28" i="7"/>
  <c r="Z29" i="7"/>
  <c r="AA29" i="7"/>
  <c r="Z30" i="7"/>
  <c r="AA30" i="7"/>
  <c r="Z31" i="7"/>
  <c r="AA31" i="7"/>
  <c r="Z32" i="7"/>
  <c r="AA32" i="7"/>
  <c r="Z33" i="7"/>
  <c r="Z34" i="7"/>
  <c r="AA34" i="7"/>
  <c r="Z35" i="7"/>
  <c r="AA35" i="7"/>
  <c r="Z36" i="7"/>
  <c r="AA36" i="7"/>
  <c r="Z37" i="7"/>
  <c r="AA37" i="7"/>
  <c r="Z38" i="7"/>
  <c r="AA38" i="7"/>
  <c r="Z39" i="7"/>
  <c r="AA39" i="7"/>
  <c r="Z40" i="7"/>
  <c r="AA40" i="7"/>
  <c r="Z41" i="7"/>
  <c r="AA41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X23" i="7"/>
  <c r="X24" i="7"/>
  <c r="X25" i="7"/>
  <c r="X26" i="7"/>
  <c r="X27" i="7"/>
  <c r="X28" i="7"/>
  <c r="X29" i="7"/>
  <c r="X30" i="7"/>
  <c r="X32" i="7"/>
  <c r="X33" i="7"/>
  <c r="X34" i="7"/>
  <c r="X35" i="7"/>
  <c r="X36" i="7"/>
  <c r="X37" i="7"/>
  <c r="X38" i="7"/>
  <c r="X39" i="7"/>
  <c r="X40" i="7"/>
  <c r="X41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V23" i="7"/>
  <c r="V24" i="7"/>
  <c r="V25" i="7"/>
  <c r="V26" i="7"/>
  <c r="V27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K112" i="7"/>
  <c r="M112" i="7"/>
  <c r="K113" i="7"/>
  <c r="M113" i="7"/>
  <c r="K114" i="7"/>
  <c r="M114" i="7"/>
  <c r="K115" i="7"/>
  <c r="M115" i="7"/>
  <c r="K116" i="7"/>
  <c r="M116" i="7"/>
  <c r="K117" i="7"/>
  <c r="M117" i="7"/>
  <c r="K118" i="7"/>
  <c r="M118" i="7"/>
  <c r="K119" i="7"/>
  <c r="M119" i="7"/>
  <c r="K120" i="7"/>
  <c r="M120" i="7"/>
  <c r="K121" i="7"/>
  <c r="M121" i="7"/>
  <c r="K122" i="7"/>
  <c r="M122" i="7"/>
  <c r="K123" i="7"/>
  <c r="M123" i="7"/>
  <c r="K124" i="7"/>
  <c r="M124" i="7"/>
  <c r="K125" i="7"/>
  <c r="M125" i="7"/>
  <c r="K126" i="7"/>
  <c r="M126" i="7"/>
  <c r="K127" i="7"/>
  <c r="M127" i="7"/>
  <c r="K128" i="7"/>
  <c r="M128" i="7"/>
  <c r="K129" i="7"/>
  <c r="M129" i="7"/>
  <c r="K130" i="7"/>
  <c r="M130" i="7"/>
  <c r="K131" i="7"/>
  <c r="M131" i="7"/>
  <c r="K132" i="7"/>
  <c r="M132" i="7"/>
  <c r="K133" i="7"/>
  <c r="M133" i="7"/>
  <c r="K134" i="7"/>
  <c r="M134" i="7"/>
  <c r="K135" i="7"/>
  <c r="M135" i="7"/>
  <c r="K136" i="7"/>
  <c r="M136" i="7"/>
  <c r="K137" i="7"/>
  <c r="M137" i="7"/>
  <c r="K138" i="7"/>
  <c r="M138" i="7"/>
  <c r="K139" i="7"/>
  <c r="M139" i="7"/>
  <c r="K140" i="7"/>
  <c r="M140" i="7"/>
  <c r="K141" i="7"/>
  <c r="M141" i="7"/>
  <c r="K142" i="7"/>
  <c r="M142" i="7"/>
  <c r="K143" i="7"/>
  <c r="M143" i="7"/>
  <c r="K144" i="7"/>
  <c r="M144" i="7"/>
  <c r="K145" i="7"/>
  <c r="M145" i="7"/>
  <c r="K146" i="7"/>
  <c r="M146" i="7"/>
  <c r="K147" i="7"/>
  <c r="M147" i="7"/>
  <c r="K6" i="7"/>
  <c r="M6" i="7"/>
  <c r="K7" i="7"/>
  <c r="M7" i="7"/>
  <c r="K8" i="7"/>
  <c r="M8" i="7"/>
  <c r="K9" i="7"/>
  <c r="M9" i="7"/>
  <c r="K10" i="7"/>
  <c r="M10" i="7"/>
  <c r="K11" i="7"/>
  <c r="M11" i="7"/>
  <c r="K12" i="7"/>
  <c r="M12" i="7"/>
  <c r="K13" i="7"/>
  <c r="M13" i="7"/>
  <c r="K14" i="7"/>
  <c r="M14" i="7"/>
  <c r="K15" i="7"/>
  <c r="M15" i="7"/>
  <c r="K16" i="7"/>
  <c r="M16" i="7"/>
  <c r="K17" i="7"/>
  <c r="M17" i="7"/>
  <c r="K18" i="7"/>
  <c r="M18" i="7"/>
  <c r="K19" i="7"/>
  <c r="M19" i="7"/>
  <c r="K20" i="7"/>
  <c r="M20" i="7"/>
  <c r="K21" i="7"/>
  <c r="M21" i="7"/>
  <c r="K22" i="7"/>
  <c r="M22" i="7"/>
  <c r="K23" i="7"/>
  <c r="M23" i="7"/>
  <c r="K24" i="7"/>
  <c r="M24" i="7"/>
  <c r="K25" i="7"/>
  <c r="M25" i="7"/>
  <c r="K26" i="7"/>
  <c r="M26" i="7"/>
  <c r="K27" i="7"/>
  <c r="M27" i="7"/>
  <c r="K28" i="7"/>
  <c r="M28" i="7"/>
  <c r="K29" i="7"/>
  <c r="M29" i="7"/>
  <c r="K30" i="7"/>
  <c r="M30" i="7"/>
  <c r="K31" i="7"/>
  <c r="M31" i="7"/>
  <c r="K32" i="7"/>
  <c r="M32" i="7"/>
  <c r="K33" i="7"/>
  <c r="M33" i="7"/>
  <c r="K34" i="7"/>
  <c r="M34" i="7"/>
  <c r="K35" i="7"/>
  <c r="M35" i="7"/>
  <c r="K36" i="7"/>
  <c r="M36" i="7"/>
  <c r="K37" i="7"/>
  <c r="M37" i="7"/>
  <c r="K38" i="7"/>
  <c r="M38" i="7"/>
  <c r="K39" i="7"/>
  <c r="M39" i="7"/>
  <c r="K40" i="7"/>
  <c r="M40" i="7"/>
  <c r="K41" i="7"/>
  <c r="M41" i="7"/>
  <c r="K42" i="7"/>
  <c r="M42" i="7"/>
  <c r="K43" i="7"/>
  <c r="M43" i="7"/>
  <c r="K44" i="7"/>
  <c r="M44" i="7"/>
  <c r="K45" i="7"/>
  <c r="M45" i="7"/>
  <c r="K46" i="7"/>
  <c r="M46" i="7"/>
  <c r="K47" i="7"/>
  <c r="M47" i="7"/>
  <c r="K48" i="7"/>
  <c r="M48" i="7"/>
  <c r="K49" i="7"/>
  <c r="M49" i="7"/>
  <c r="K50" i="7"/>
  <c r="M50" i="7"/>
  <c r="K51" i="7"/>
  <c r="M51" i="7"/>
  <c r="K52" i="7"/>
  <c r="M52" i="7"/>
  <c r="K53" i="7"/>
  <c r="M53" i="7"/>
  <c r="K54" i="7"/>
  <c r="M54" i="7"/>
  <c r="K55" i="7"/>
  <c r="M55" i="7"/>
  <c r="K56" i="7"/>
  <c r="M56" i="7"/>
  <c r="K57" i="7"/>
  <c r="M57" i="7"/>
  <c r="K58" i="7"/>
  <c r="M58" i="7"/>
  <c r="K59" i="7"/>
  <c r="M59" i="7"/>
  <c r="K60" i="7"/>
  <c r="M60" i="7"/>
  <c r="K61" i="7"/>
  <c r="M61" i="7"/>
  <c r="K62" i="7"/>
  <c r="M62" i="7"/>
  <c r="K63" i="7"/>
  <c r="M63" i="7"/>
  <c r="K64" i="7"/>
  <c r="M64" i="7"/>
  <c r="K65" i="7"/>
  <c r="M65" i="7"/>
  <c r="K66" i="7"/>
  <c r="M66" i="7"/>
  <c r="K67" i="7"/>
  <c r="M67" i="7"/>
  <c r="K68" i="7"/>
  <c r="M68" i="7"/>
  <c r="K69" i="7"/>
  <c r="M69" i="7"/>
  <c r="K70" i="7"/>
  <c r="M70" i="7"/>
  <c r="K71" i="7"/>
  <c r="M71" i="7"/>
  <c r="K72" i="7"/>
  <c r="M72" i="7"/>
  <c r="K73" i="7"/>
  <c r="M73" i="7"/>
  <c r="K74" i="7"/>
  <c r="M74" i="7"/>
  <c r="K75" i="7"/>
  <c r="M75" i="7"/>
  <c r="K76" i="7"/>
  <c r="M76" i="7"/>
  <c r="K77" i="7"/>
  <c r="M77" i="7"/>
  <c r="K78" i="7"/>
  <c r="M78" i="7"/>
  <c r="K79" i="7"/>
  <c r="M79" i="7"/>
  <c r="K80" i="7"/>
  <c r="M80" i="7"/>
  <c r="K81" i="7"/>
  <c r="M81" i="7"/>
  <c r="K82" i="7"/>
  <c r="M82" i="7"/>
  <c r="K83" i="7"/>
  <c r="M83" i="7"/>
  <c r="K84" i="7"/>
  <c r="M84" i="7"/>
  <c r="K85" i="7"/>
  <c r="M85" i="7"/>
  <c r="K86" i="7"/>
  <c r="M86" i="7"/>
  <c r="K87" i="7"/>
  <c r="M87" i="7"/>
  <c r="K88" i="7"/>
  <c r="M88" i="7"/>
  <c r="K89" i="7"/>
  <c r="M89" i="7"/>
  <c r="K90" i="7"/>
  <c r="M90" i="7"/>
  <c r="K91" i="7"/>
  <c r="M91" i="7"/>
  <c r="K92" i="7"/>
  <c r="M92" i="7"/>
  <c r="K97" i="7"/>
  <c r="M97" i="7"/>
  <c r="K98" i="7"/>
  <c r="M98" i="7"/>
  <c r="K99" i="7"/>
  <c r="M99" i="7"/>
  <c r="K100" i="7"/>
  <c r="M100" i="7"/>
  <c r="K101" i="7"/>
  <c r="M101" i="7"/>
  <c r="K102" i="7"/>
  <c r="M102" i="7"/>
  <c r="K103" i="7"/>
  <c r="M103" i="7"/>
  <c r="K104" i="7"/>
  <c r="M104" i="7"/>
  <c r="K105" i="7"/>
  <c r="M105" i="7"/>
  <c r="M106" i="7"/>
  <c r="K107" i="7"/>
  <c r="M107" i="7"/>
  <c r="K108" i="7"/>
  <c r="M108" i="7"/>
  <c r="K109" i="7"/>
  <c r="M109" i="7"/>
  <c r="K110" i="7"/>
  <c r="M110" i="7"/>
  <c r="K111" i="7"/>
  <c r="M111" i="7"/>
  <c r="K94" i="7"/>
  <c r="M94" i="7"/>
  <c r="K95" i="7"/>
  <c r="M95" i="7"/>
  <c r="K5" i="7"/>
  <c r="B21" i="7"/>
  <c r="B20" i="7"/>
  <c r="B19" i="7"/>
  <c r="M3" i="7"/>
  <c r="M4" i="7"/>
  <c r="M5" i="7"/>
  <c r="M2" i="7"/>
  <c r="K148" i="7"/>
  <c r="K3" i="7"/>
  <c r="F21" i="7"/>
  <c r="F60" i="7"/>
  <c r="F61" i="7"/>
  <c r="F40" i="7"/>
  <c r="F23" i="7"/>
  <c r="B18" i="7"/>
  <c r="B17" i="7"/>
  <c r="B16" i="7"/>
  <c r="AS42" i="7"/>
  <c r="AS43" i="7"/>
  <c r="AS44" i="7"/>
  <c r="AS45" i="7"/>
  <c r="AS46" i="7"/>
  <c r="AS47" i="7"/>
  <c r="AS48" i="7"/>
  <c r="AS49" i="7"/>
  <c r="AS50" i="7"/>
  <c r="AS51" i="7"/>
  <c r="AS52" i="7"/>
  <c r="AS53" i="7"/>
  <c r="AS54" i="7"/>
  <c r="AS55" i="7"/>
  <c r="AQ42" i="7"/>
  <c r="AR42" i="7"/>
  <c r="AQ43" i="7"/>
  <c r="AR43" i="7"/>
  <c r="AQ44" i="7"/>
  <c r="AR44" i="7"/>
  <c r="AQ45" i="7"/>
  <c r="AR45" i="7"/>
  <c r="AQ46" i="7"/>
  <c r="AR46" i="7"/>
  <c r="AQ47" i="7"/>
  <c r="AR47" i="7"/>
  <c r="AQ48" i="7"/>
  <c r="AR48" i="7"/>
  <c r="AQ49" i="7"/>
  <c r="AR49" i="7"/>
  <c r="AQ50" i="7"/>
  <c r="AR50" i="7"/>
  <c r="AQ51" i="7"/>
  <c r="AR51" i="7"/>
  <c r="AQ52" i="7"/>
  <c r="AR52" i="7"/>
  <c r="AQ53" i="7"/>
  <c r="AR53" i="7"/>
  <c r="AQ54" i="7"/>
  <c r="AR54" i="7"/>
  <c r="AQ55" i="7"/>
  <c r="AR55" i="7"/>
  <c r="V42" i="7"/>
  <c r="AQ22" i="7"/>
  <c r="AR22" i="7"/>
  <c r="AS22" i="7"/>
  <c r="AQ23" i="7"/>
  <c r="AR23" i="7"/>
  <c r="AS23" i="7"/>
  <c r="AQ24" i="7"/>
  <c r="AR24" i="7"/>
  <c r="AS24" i="7"/>
  <c r="AQ25" i="7"/>
  <c r="AR25" i="7"/>
  <c r="AS25" i="7"/>
  <c r="AQ26" i="7"/>
  <c r="AS26" i="7"/>
  <c r="AQ27" i="7"/>
  <c r="AR27" i="7"/>
  <c r="AS27" i="7"/>
  <c r="AQ28" i="7"/>
  <c r="AR28" i="7"/>
  <c r="AS28" i="7"/>
  <c r="AQ29" i="7"/>
  <c r="AR29" i="7"/>
  <c r="AS29" i="7"/>
  <c r="AQ30" i="7"/>
  <c r="AR30" i="7"/>
  <c r="AS30" i="7"/>
  <c r="AQ31" i="7"/>
  <c r="AR31" i="7"/>
  <c r="AS31" i="7"/>
  <c r="AQ32" i="7"/>
  <c r="AR32" i="7"/>
  <c r="AS32" i="7"/>
  <c r="AQ33" i="7"/>
  <c r="AR33" i="7"/>
  <c r="AS33" i="7"/>
  <c r="AQ34" i="7"/>
  <c r="AR34" i="7"/>
  <c r="AS34" i="7"/>
  <c r="AQ35" i="7"/>
  <c r="AR35" i="7"/>
  <c r="AS35" i="7"/>
  <c r="F57" i="7"/>
  <c r="F58" i="7"/>
  <c r="F56" i="7"/>
  <c r="F53" i="7"/>
  <c r="F50" i="7"/>
  <c r="F51" i="7"/>
  <c r="F55" i="7"/>
  <c r="F52" i="7"/>
  <c r="F54" i="7"/>
  <c r="F49" i="7"/>
  <c r="F48" i="7"/>
  <c r="F45" i="7"/>
  <c r="F44" i="7"/>
  <c r="F47" i="7"/>
  <c r="F46" i="7"/>
  <c r="F43" i="7"/>
  <c r="F42" i="7"/>
  <c r="F37" i="7"/>
  <c r="F20" i="7"/>
  <c r="F36" i="7"/>
  <c r="F39" i="7"/>
  <c r="F38" i="7"/>
  <c r="F31" i="7"/>
  <c r="F34" i="7"/>
  <c r="F35" i="7"/>
  <c r="F32" i="7"/>
  <c r="F33" i="7"/>
  <c r="F30" i="7"/>
  <c r="F29" i="7"/>
  <c r="F28" i="7"/>
  <c r="F25" i="7"/>
  <c r="F24" i="7"/>
  <c r="F26" i="7"/>
  <c r="F27" i="7"/>
  <c r="F22" i="7"/>
  <c r="F59" i="7"/>
  <c r="F18" i="7"/>
  <c r="F17" i="7"/>
  <c r="F16" i="7"/>
  <c r="F41" i="7"/>
  <c r="F12" i="7"/>
  <c r="F19" i="7"/>
  <c r="F15" i="7"/>
  <c r="F14" i="7"/>
  <c r="F13" i="7"/>
  <c r="F10" i="7"/>
  <c r="F11" i="7"/>
  <c r="F8" i="7"/>
  <c r="F9" i="7"/>
  <c r="F3" i="7"/>
  <c r="F4" i="7"/>
  <c r="F7" i="7"/>
  <c r="F6" i="7"/>
  <c r="F5" i="7"/>
  <c r="G68" i="11" l="1"/>
  <c r="V58" i="16"/>
  <c r="V56" i="16"/>
  <c r="V54" i="16"/>
  <c r="V45" i="16"/>
  <c r="V43" i="16"/>
  <c r="V41" i="16"/>
  <c r="V39" i="16"/>
  <c r="V37" i="16"/>
  <c r="V35" i="16"/>
  <c r="V16" i="16"/>
  <c r="V14" i="16"/>
  <c r="V12" i="16"/>
  <c r="V10" i="16"/>
  <c r="V8" i="16"/>
  <c r="V6" i="16"/>
  <c r="V4" i="16"/>
  <c r="V50" i="16"/>
  <c r="V48" i="16"/>
  <c r="V25" i="16"/>
  <c r="V23" i="16"/>
  <c r="V21" i="16"/>
  <c r="M102" i="13"/>
  <c r="M98" i="13"/>
  <c r="Q49" i="13"/>
  <c r="Q106" i="13"/>
  <c r="K61" i="13"/>
  <c r="A112" i="13"/>
  <c r="J112" i="13" s="1"/>
  <c r="N72" i="13"/>
  <c r="L54" i="13"/>
  <c r="P54" i="13"/>
  <c r="J67" i="13"/>
  <c r="N74" i="13"/>
  <c r="L63" i="13"/>
  <c r="N66" i="13"/>
  <c r="P100" i="13"/>
  <c r="N48" i="13"/>
  <c r="A94" i="13"/>
  <c r="N94" i="13" s="1"/>
  <c r="B103" i="13"/>
  <c r="O103" i="13" s="1"/>
  <c r="O61" i="13"/>
  <c r="L86" i="13"/>
  <c r="L132" i="13"/>
  <c r="P51" i="13"/>
  <c r="P63" i="13"/>
  <c r="L61" i="13"/>
  <c r="A118" i="13"/>
  <c r="J118" i="13" s="1"/>
  <c r="B79" i="11"/>
  <c r="B75" i="11"/>
  <c r="B71" i="11"/>
  <c r="B67" i="11"/>
  <c r="G66" i="11"/>
  <c r="M135" i="13"/>
  <c r="N58" i="13"/>
  <c r="D15" i="15"/>
  <c r="V57" i="16"/>
  <c r="V53" i="16"/>
  <c r="V44" i="16"/>
  <c r="V38" i="16"/>
  <c r="V15" i="16"/>
  <c r="V11" i="16"/>
  <c r="V9" i="16"/>
  <c r="V7" i="16"/>
  <c r="V5" i="16"/>
  <c r="B66" i="11"/>
  <c r="M115" i="13"/>
  <c r="C97" i="13"/>
  <c r="L97" i="13" s="1"/>
  <c r="M120" i="13"/>
  <c r="O57" i="13"/>
  <c r="D17" i="15"/>
  <c r="V49" i="16"/>
  <c r="V26" i="16"/>
  <c r="V24" i="16"/>
  <c r="V22" i="16"/>
  <c r="B80" i="11"/>
  <c r="G70" i="11"/>
  <c r="M130" i="13"/>
  <c r="A104" i="13"/>
  <c r="N104" i="13" s="1"/>
  <c r="V110" i="16"/>
  <c r="V55" i="16"/>
  <c r="V42" i="16"/>
  <c r="V40" i="16"/>
  <c r="V36" i="16"/>
  <c r="V34" i="16"/>
  <c r="V13" i="16"/>
  <c r="B65" i="11"/>
  <c r="B81" i="11"/>
  <c r="B77" i="11"/>
  <c r="B73" i="11"/>
  <c r="B69" i="11"/>
  <c r="B74" i="11"/>
  <c r="B70" i="11"/>
  <c r="G72" i="11"/>
  <c r="G67" i="11"/>
  <c r="M129" i="13"/>
  <c r="D16" i="15"/>
  <c r="C134" i="13"/>
  <c r="L134" i="13" s="1"/>
  <c r="K90" i="13"/>
  <c r="B132" i="13"/>
  <c r="K132" i="13" s="1"/>
  <c r="P75" i="13"/>
  <c r="J55" i="13"/>
  <c r="P133" i="13"/>
  <c r="M97" i="13"/>
  <c r="K50" i="13"/>
  <c r="P87" i="13"/>
  <c r="Q125" i="13"/>
  <c r="A101" i="13"/>
  <c r="N101" i="13" s="1"/>
  <c r="L85" i="13"/>
  <c r="L88" i="13"/>
  <c r="L87" i="13"/>
  <c r="M121" i="13"/>
  <c r="B136" i="13"/>
  <c r="K136" i="13" s="1"/>
  <c r="O79" i="13"/>
  <c r="P86" i="13"/>
  <c r="N61" i="13"/>
  <c r="C121" i="13"/>
  <c r="P121" i="13" s="1"/>
  <c r="Q113" i="13"/>
  <c r="J75" i="13"/>
  <c r="K79" i="13"/>
  <c r="O86" i="13"/>
  <c r="B131" i="13"/>
  <c r="A120" i="13"/>
  <c r="P101" i="13"/>
  <c r="Q105" i="13"/>
  <c r="Q117" i="13"/>
  <c r="K74" i="13"/>
  <c r="K77" i="13"/>
  <c r="M101" i="13"/>
  <c r="O74" i="13"/>
  <c r="A121" i="13"/>
  <c r="J121" i="13" s="1"/>
  <c r="L72" i="13"/>
  <c r="P72" i="13"/>
  <c r="C118" i="13"/>
  <c r="L118" i="13" s="1"/>
  <c r="J63" i="13"/>
  <c r="Q108" i="13"/>
  <c r="M108" i="13"/>
  <c r="Q104" i="13"/>
  <c r="M104" i="13"/>
  <c r="Q100" i="13"/>
  <c r="M100" i="13"/>
  <c r="Q96" i="13"/>
  <c r="M96" i="13"/>
  <c r="B112" i="13"/>
  <c r="O66" i="13"/>
  <c r="B104" i="13"/>
  <c r="K58" i="13"/>
  <c r="O58" i="13"/>
  <c r="A102" i="13"/>
  <c r="N102" i="13" s="1"/>
  <c r="N56" i="13"/>
  <c r="B100" i="13"/>
  <c r="K100" i="13" s="1"/>
  <c r="K54" i="13"/>
  <c r="O54" i="13"/>
  <c r="N53" i="13"/>
  <c r="J53" i="13"/>
  <c r="P96" i="13"/>
  <c r="L96" i="13"/>
  <c r="J50" i="13"/>
  <c r="A96" i="13"/>
  <c r="N96" i="13" s="1"/>
  <c r="Q123" i="13"/>
  <c r="M123" i="13"/>
  <c r="O85" i="13"/>
  <c r="B96" i="13"/>
  <c r="O96" i="13" s="1"/>
  <c r="O49" i="13"/>
  <c r="K49" i="13"/>
  <c r="Q95" i="13"/>
  <c r="M95" i="13"/>
  <c r="M132" i="13"/>
  <c r="Q132" i="13"/>
  <c r="Q107" i="13"/>
  <c r="M107" i="13"/>
  <c r="C128" i="13"/>
  <c r="L82" i="13"/>
  <c r="P82" i="13"/>
  <c r="C111" i="13"/>
  <c r="L111" i="13" s="1"/>
  <c r="P65" i="13"/>
  <c r="B108" i="13"/>
  <c r="K62" i="13"/>
  <c r="B105" i="13"/>
  <c r="K59" i="13"/>
  <c r="O59" i="13"/>
  <c r="M99" i="13"/>
  <c r="B95" i="13"/>
  <c r="O95" i="13" s="1"/>
  <c r="L70" i="13"/>
  <c r="N86" i="13"/>
  <c r="A132" i="13"/>
  <c r="N132" i="13" s="1"/>
  <c r="L84" i="13"/>
  <c r="P84" i="13"/>
  <c r="C124" i="13"/>
  <c r="L124" i="13" s="1"/>
  <c r="P78" i="13"/>
  <c r="B121" i="13"/>
  <c r="K75" i="13"/>
  <c r="O70" i="13"/>
  <c r="B116" i="13"/>
  <c r="O116" i="13" s="1"/>
  <c r="K70" i="13"/>
  <c r="C114" i="13"/>
  <c r="P68" i="13"/>
  <c r="C112" i="13"/>
  <c r="P112" i="13" s="1"/>
  <c r="L66" i="13"/>
  <c r="B99" i="13"/>
  <c r="O99" i="13" s="1"/>
  <c r="O53" i="13"/>
  <c r="N59" i="13"/>
  <c r="A105" i="13"/>
  <c r="J105" i="13" s="1"/>
  <c r="Q124" i="13"/>
  <c r="M124" i="13"/>
  <c r="M112" i="13"/>
  <c r="Q112" i="13"/>
  <c r="L74" i="13"/>
  <c r="P74" i="13"/>
  <c r="L67" i="13"/>
  <c r="P67" i="13"/>
  <c r="M110" i="13"/>
  <c r="Q110" i="13"/>
  <c r="J64" i="13"/>
  <c r="N64" i="13"/>
  <c r="L65" i="13"/>
  <c r="C113" i="13"/>
  <c r="P113" i="13" s="1"/>
  <c r="C130" i="13"/>
  <c r="J61" i="13"/>
  <c r="C120" i="13"/>
  <c r="L120" i="13" s="1"/>
  <c r="K53" i="13"/>
  <c r="C119" i="13"/>
  <c r="P119" i="13" s="1"/>
  <c r="P73" i="13"/>
  <c r="C117" i="13"/>
  <c r="P71" i="13"/>
  <c r="O125" i="13"/>
  <c r="K125" i="13"/>
  <c r="J100" i="13"/>
  <c r="N100" i="13"/>
  <c r="Q48" i="13"/>
  <c r="D94" i="13"/>
  <c r="M48" i="13"/>
  <c r="B134" i="13"/>
  <c r="K88" i="13"/>
  <c r="A128" i="13"/>
  <c r="P120" i="13"/>
  <c r="J73" i="13"/>
  <c r="A119" i="13"/>
  <c r="N73" i="13"/>
  <c r="J65" i="13"/>
  <c r="A111" i="13"/>
  <c r="N65" i="13"/>
  <c r="N60" i="13"/>
  <c r="J60" i="13"/>
  <c r="A106" i="13"/>
  <c r="N106" i="13" s="1"/>
  <c r="P58" i="13"/>
  <c r="L58" i="13"/>
  <c r="C102" i="13"/>
  <c r="L102" i="13" s="1"/>
  <c r="L56" i="13"/>
  <c r="P56" i="13"/>
  <c r="O52" i="13"/>
  <c r="B98" i="13"/>
  <c r="K52" i="13"/>
  <c r="Q116" i="13"/>
  <c r="M116" i="13"/>
  <c r="L83" i="13"/>
  <c r="C129" i="13"/>
  <c r="P129" i="13" s="1"/>
  <c r="C98" i="13"/>
  <c r="L52" i="13"/>
  <c r="P52" i="13"/>
  <c r="M127" i="13"/>
  <c r="Q127" i="13"/>
  <c r="Q122" i="13"/>
  <c r="M122" i="13"/>
  <c r="Q118" i="13"/>
  <c r="M118" i="13"/>
  <c r="N51" i="13"/>
  <c r="A97" i="13"/>
  <c r="J97" i="13" s="1"/>
  <c r="J51" i="13"/>
  <c r="O55" i="13"/>
  <c r="O71" i="13"/>
  <c r="K71" i="13"/>
  <c r="B117" i="13"/>
  <c r="Q131" i="13"/>
  <c r="J82" i="13"/>
  <c r="O78" i="13"/>
  <c r="B124" i="13"/>
  <c r="C122" i="13"/>
  <c r="L76" i="13"/>
  <c r="P76" i="13"/>
  <c r="B113" i="13"/>
  <c r="K113" i="13" s="1"/>
  <c r="O67" i="13"/>
  <c r="L50" i="13"/>
  <c r="P50" i="13"/>
  <c r="P79" i="13"/>
  <c r="C125" i="13"/>
  <c r="L125" i="13" s="1"/>
  <c r="J123" i="13"/>
  <c r="N123" i="13"/>
  <c r="K68" i="13"/>
  <c r="B114" i="13"/>
  <c r="Q119" i="13"/>
  <c r="M119" i="13"/>
  <c r="M111" i="13"/>
  <c r="Q111" i="13"/>
  <c r="P55" i="13"/>
  <c r="L55" i="13"/>
  <c r="B129" i="13"/>
  <c r="O83" i="13"/>
  <c r="K83" i="13"/>
  <c r="P81" i="13"/>
  <c r="L81" i="13"/>
  <c r="L109" i="13"/>
  <c r="P109" i="13"/>
  <c r="C99" i="13"/>
  <c r="P53" i="13"/>
  <c r="N71" i="13"/>
  <c r="A117" i="13"/>
  <c r="N63" i="13"/>
  <c r="N109" i="13"/>
  <c r="J109" i="13"/>
  <c r="K111" i="13"/>
  <c r="O111" i="13"/>
  <c r="O73" i="13"/>
  <c r="B119" i="13"/>
  <c r="K76" i="13"/>
  <c r="B122" i="13"/>
  <c r="J57" i="13"/>
  <c r="A103" i="13"/>
  <c r="P104" i="13"/>
  <c r="P61" i="13"/>
  <c r="Q109" i="13"/>
  <c r="Q114" i="13"/>
  <c r="N57" i="13"/>
  <c r="L71" i="13"/>
  <c r="P66" i="13"/>
  <c r="C116" i="13"/>
  <c r="L78" i="13"/>
  <c r="J107" i="13"/>
  <c r="K55" i="13"/>
  <c r="N83" i="13"/>
  <c r="B123" i="13"/>
  <c r="C131" i="13"/>
  <c r="A129" i="13"/>
  <c r="C127" i="13"/>
  <c r="L127" i="13" s="1"/>
  <c r="O65" i="13"/>
  <c r="K65" i="13"/>
  <c r="A110" i="13"/>
  <c r="C95" i="13"/>
  <c r="P95" i="13" s="1"/>
  <c r="P49" i="13"/>
  <c r="K60" i="13"/>
  <c r="B106" i="13"/>
  <c r="L57" i="13"/>
  <c r="P57" i="13"/>
  <c r="A125" i="13"/>
  <c r="J79" i="13"/>
  <c r="O76" i="13"/>
  <c r="C135" i="13"/>
  <c r="P89" i="13"/>
  <c r="A113" i="13"/>
  <c r="A99" i="13"/>
  <c r="Q133" i="13"/>
  <c r="M133" i="13"/>
  <c r="Q103" i="13"/>
  <c r="M103" i="13"/>
  <c r="N90" i="13"/>
  <c r="J90" i="13"/>
  <c r="J85" i="13"/>
  <c r="A131" i="13"/>
  <c r="B128" i="13"/>
  <c r="O82" i="13"/>
  <c r="K82" i="13"/>
  <c r="P62" i="13"/>
  <c r="C108" i="13"/>
  <c r="K107" i="13"/>
  <c r="O107" i="13"/>
  <c r="C106" i="13"/>
  <c r="L60" i="13"/>
  <c r="C105" i="13"/>
  <c r="P59" i="13"/>
  <c r="A98" i="13"/>
  <c r="J52" i="13"/>
  <c r="O51" i="13"/>
  <c r="B97" i="13"/>
  <c r="K51" i="13"/>
  <c r="G69" i="11"/>
  <c r="G65" i="11"/>
  <c r="J136" i="13"/>
  <c r="J69" i="13"/>
  <c r="K101" i="13"/>
  <c r="N52" i="13"/>
  <c r="N85" i="13"/>
  <c r="C123" i="13"/>
  <c r="L77" i="13"/>
  <c r="N78" i="13"/>
  <c r="J78" i="13"/>
  <c r="A124" i="13"/>
  <c r="A108" i="13"/>
  <c r="J62" i="13"/>
  <c r="M134" i="13"/>
  <c r="Q134" i="13"/>
  <c r="C136" i="13"/>
  <c r="P90" i="13"/>
  <c r="A135" i="13"/>
  <c r="J89" i="13"/>
  <c r="K87" i="13"/>
  <c r="O87" i="13"/>
  <c r="B133" i="13"/>
  <c r="A122" i="13"/>
  <c r="N76" i="13"/>
  <c r="C115" i="13"/>
  <c r="L69" i="13"/>
  <c r="C110" i="13"/>
  <c r="L64" i="13"/>
  <c r="B109" i="13"/>
  <c r="K63" i="13"/>
  <c r="N49" i="13"/>
  <c r="J49" i="13"/>
  <c r="Q128" i="13"/>
  <c r="M128" i="13"/>
  <c r="B72" i="11"/>
  <c r="N95" i="13"/>
  <c r="L107" i="13"/>
  <c r="L59" i="13"/>
  <c r="O127" i="13"/>
  <c r="A115" i="13"/>
  <c r="P83" i="13"/>
  <c r="K120" i="13"/>
  <c r="N89" i="13"/>
  <c r="N77" i="13"/>
  <c r="J77" i="13"/>
  <c r="J68" i="13"/>
  <c r="N68" i="13"/>
  <c r="A114" i="13"/>
  <c r="B94" i="13"/>
  <c r="O48" i="13"/>
  <c r="K48" i="13"/>
  <c r="J87" i="13"/>
  <c r="A133" i="13"/>
  <c r="N87" i="13"/>
  <c r="J70" i="13"/>
  <c r="A116" i="13"/>
  <c r="J54" i="13"/>
  <c r="N54" i="13"/>
  <c r="N88" i="13"/>
  <c r="J88" i="13"/>
  <c r="A134" i="13"/>
  <c r="A127" i="13"/>
  <c r="N81" i="13"/>
  <c r="O81" i="13"/>
  <c r="K81" i="13"/>
  <c r="O64" i="13"/>
  <c r="K64" i="13"/>
  <c r="B110" i="13"/>
  <c r="Q136" i="13"/>
  <c r="M136" i="13"/>
  <c r="L103" i="13"/>
  <c r="P103" i="13"/>
  <c r="O84" i="13"/>
  <c r="B130" i="13"/>
  <c r="B115" i="13"/>
  <c r="O69" i="13"/>
  <c r="L48" i="13"/>
  <c r="C94" i="13"/>
  <c r="A130" i="13"/>
  <c r="J84" i="13"/>
  <c r="N84" i="13"/>
  <c r="K72" i="13"/>
  <c r="B118" i="13"/>
  <c r="O72" i="13"/>
  <c r="K56" i="13"/>
  <c r="B102" i="13"/>
  <c r="O56" i="13"/>
  <c r="B135" i="13"/>
  <c r="O89" i="13"/>
  <c r="K89" i="13"/>
  <c r="V114" i="16"/>
  <c r="V112" i="16"/>
  <c r="V61" i="16"/>
  <c r="V59" i="16"/>
  <c r="V52" i="16"/>
  <c r="V47" i="16"/>
  <c r="V32" i="16"/>
  <c r="V30" i="16"/>
  <c r="V28" i="16"/>
  <c r="V19" i="16"/>
  <c r="V17" i="16"/>
  <c r="V115" i="16"/>
  <c r="V60" i="16"/>
  <c r="V51" i="16"/>
  <c r="V46" i="16"/>
  <c r="V33" i="16"/>
  <c r="V31" i="16"/>
  <c r="V29" i="16"/>
  <c r="V27" i="16"/>
  <c r="V20" i="16"/>
  <c r="V18" i="16"/>
  <c r="V116" i="16"/>
  <c r="N112" i="13" l="1"/>
  <c r="N118" i="13"/>
  <c r="N105" i="13"/>
  <c r="O100" i="13"/>
  <c r="L121" i="13"/>
  <c r="P134" i="13"/>
  <c r="N121" i="13"/>
  <c r="K103" i="13"/>
  <c r="J94" i="13"/>
  <c r="P97" i="13"/>
  <c r="J102" i="13"/>
  <c r="J104" i="13"/>
  <c r="J101" i="13"/>
  <c r="N97" i="13"/>
  <c r="O132" i="13"/>
  <c r="P127" i="13"/>
  <c r="O136" i="13"/>
  <c r="P102" i="13"/>
  <c r="J96" i="13"/>
  <c r="N120" i="13"/>
  <c r="J120" i="13"/>
  <c r="J106" i="13"/>
  <c r="L119" i="13"/>
  <c r="K116" i="13"/>
  <c r="K131" i="13"/>
  <c r="O131" i="13"/>
  <c r="P118" i="13"/>
  <c r="P125" i="13"/>
  <c r="O113" i="13"/>
  <c r="J132" i="13"/>
  <c r="K96" i="13"/>
  <c r="P124" i="13"/>
  <c r="P111" i="13"/>
  <c r="L112" i="13"/>
  <c r="K95" i="13"/>
  <c r="K112" i="13"/>
  <c r="O112" i="13"/>
  <c r="K104" i="13"/>
  <c r="O104" i="13"/>
  <c r="P114" i="13"/>
  <c r="L114" i="13"/>
  <c r="K108" i="13"/>
  <c r="O108" i="13"/>
  <c r="L95" i="13"/>
  <c r="K99" i="13"/>
  <c r="L113" i="13"/>
  <c r="P130" i="13"/>
  <c r="L130" i="13"/>
  <c r="K121" i="13"/>
  <c r="O121" i="13"/>
  <c r="O105" i="13"/>
  <c r="K105" i="13"/>
  <c r="L129" i="13"/>
  <c r="P117" i="13"/>
  <c r="L117" i="13"/>
  <c r="P128" i="13"/>
  <c r="L128" i="13"/>
  <c r="J119" i="13"/>
  <c r="N119" i="13"/>
  <c r="J128" i="13"/>
  <c r="N128" i="13"/>
  <c r="M94" i="13"/>
  <c r="Q94" i="13"/>
  <c r="L122" i="13"/>
  <c r="P122" i="13"/>
  <c r="N111" i="13"/>
  <c r="J111" i="13"/>
  <c r="P99" i="13"/>
  <c r="L99" i="13"/>
  <c r="K114" i="13"/>
  <c r="O114" i="13"/>
  <c r="K124" i="13"/>
  <c r="O124" i="13"/>
  <c r="K117" i="13"/>
  <c r="O117" i="13"/>
  <c r="L98" i="13"/>
  <c r="P98" i="13"/>
  <c r="O98" i="13"/>
  <c r="K98" i="13"/>
  <c r="O134" i="13"/>
  <c r="K134" i="13"/>
  <c r="J117" i="13"/>
  <c r="N117" i="13"/>
  <c r="K129" i="13"/>
  <c r="O129" i="13"/>
  <c r="J99" i="13"/>
  <c r="N99" i="13"/>
  <c r="N110" i="13"/>
  <c r="J110" i="13"/>
  <c r="K123" i="13"/>
  <c r="O123" i="13"/>
  <c r="O122" i="13"/>
  <c r="K122" i="13"/>
  <c r="K119" i="13"/>
  <c r="O119" i="13"/>
  <c r="N113" i="13"/>
  <c r="J113" i="13"/>
  <c r="J125" i="13"/>
  <c r="N125" i="13"/>
  <c r="K106" i="13"/>
  <c r="O106" i="13"/>
  <c r="N129" i="13"/>
  <c r="J129" i="13"/>
  <c r="P116" i="13"/>
  <c r="L116" i="13"/>
  <c r="N103" i="13"/>
  <c r="J103" i="13"/>
  <c r="P135" i="13"/>
  <c r="L135" i="13"/>
  <c r="P131" i="13"/>
  <c r="L131" i="13"/>
  <c r="K118" i="13"/>
  <c r="O118" i="13"/>
  <c r="N130" i="13"/>
  <c r="J130" i="13"/>
  <c r="O115" i="13"/>
  <c r="K115" i="13"/>
  <c r="O109" i="13"/>
  <c r="K109" i="13"/>
  <c r="P115" i="13"/>
  <c r="L115" i="13"/>
  <c r="P105" i="13"/>
  <c r="L105" i="13"/>
  <c r="K135" i="13"/>
  <c r="O135" i="13"/>
  <c r="L94" i="13"/>
  <c r="P94" i="13"/>
  <c r="K130" i="13"/>
  <c r="O130" i="13"/>
  <c r="N134" i="13"/>
  <c r="J134" i="13"/>
  <c r="N133" i="13"/>
  <c r="J133" i="13"/>
  <c r="O94" i="13"/>
  <c r="K94" i="13"/>
  <c r="O133" i="13"/>
  <c r="K133" i="13"/>
  <c r="J135" i="13"/>
  <c r="N135" i="13"/>
  <c r="N108" i="13"/>
  <c r="J108" i="13"/>
  <c r="J98" i="13"/>
  <c r="N98" i="13"/>
  <c r="P108" i="13"/>
  <c r="L108" i="13"/>
  <c r="K128" i="13"/>
  <c r="O128" i="13"/>
  <c r="N116" i="13"/>
  <c r="J116" i="13"/>
  <c r="J115" i="13"/>
  <c r="N115" i="13"/>
  <c r="L110" i="13"/>
  <c r="P110" i="13"/>
  <c r="N122" i="13"/>
  <c r="J122" i="13"/>
  <c r="N124" i="13"/>
  <c r="J124" i="13"/>
  <c r="P123" i="13"/>
  <c r="L123" i="13"/>
  <c r="O97" i="13"/>
  <c r="K97" i="13"/>
  <c r="L106" i="13"/>
  <c r="P106" i="13"/>
  <c r="J131" i="13"/>
  <c r="N131" i="13"/>
  <c r="K102" i="13"/>
  <c r="O102" i="13"/>
  <c r="K110" i="13"/>
  <c r="O110" i="13"/>
  <c r="N127" i="13"/>
  <c r="J127" i="13"/>
  <c r="J114" i="13"/>
  <c r="N114" i="13"/>
  <c r="P136" i="13"/>
  <c r="L136" i="13"/>
</calcChain>
</file>

<file path=xl/sharedStrings.xml><?xml version="1.0" encoding="utf-8"?>
<sst xmlns="http://schemas.openxmlformats.org/spreadsheetml/2006/main" count="3057" uniqueCount="875">
  <si>
    <t>孙悟空</t>
  </si>
  <si>
    <t>孙悟空</t>
    <phoneticPr fontId="2" type="noConversion"/>
  </si>
  <si>
    <t>猪八戒</t>
  </si>
  <si>
    <t>牛魔王</t>
  </si>
  <si>
    <t>牛魔王</t>
    <phoneticPr fontId="2" type="noConversion"/>
  </si>
  <si>
    <t>小白龙</t>
  </si>
  <si>
    <t>角色</t>
    <phoneticPr fontId="2" type="noConversion"/>
  </si>
  <si>
    <t>嫦娥</t>
  </si>
  <si>
    <t>唐三藏</t>
  </si>
  <si>
    <t>品质</t>
    <phoneticPr fontId="2" type="noConversion"/>
  </si>
  <si>
    <t>资质</t>
    <phoneticPr fontId="2" type="noConversion"/>
  </si>
  <si>
    <t>橙</t>
  </si>
  <si>
    <t>橙</t>
    <phoneticPr fontId="2" type="noConversion"/>
  </si>
  <si>
    <t>王母娘娘</t>
  </si>
  <si>
    <t>王母娘娘</t>
    <phoneticPr fontId="2" type="noConversion"/>
  </si>
  <si>
    <t>东海龙王</t>
  </si>
  <si>
    <t>蝎子精</t>
  </si>
  <si>
    <t>蝎子精</t>
    <phoneticPr fontId="2" type="noConversion"/>
  </si>
  <si>
    <t>紫</t>
  </si>
  <si>
    <t>紫</t>
    <phoneticPr fontId="2" type="noConversion"/>
  </si>
  <si>
    <t>雷公</t>
  </si>
  <si>
    <t>女儿国国王</t>
    <phoneticPr fontId="2" type="noConversion"/>
  </si>
  <si>
    <t>猪八戒</t>
    <phoneticPr fontId="2" type="noConversion"/>
  </si>
  <si>
    <t>六耳猕猴</t>
  </si>
  <si>
    <t>六耳猕猴</t>
    <phoneticPr fontId="2" type="noConversion"/>
  </si>
  <si>
    <t>红孩儿</t>
  </si>
  <si>
    <t>铁扇公主</t>
    <phoneticPr fontId="2" type="noConversion"/>
  </si>
  <si>
    <t>蜘蛛精</t>
  </si>
  <si>
    <t>蜘蛛精</t>
    <phoneticPr fontId="2" type="noConversion"/>
  </si>
  <si>
    <t>二郎神</t>
  </si>
  <si>
    <t>二郎神</t>
    <phoneticPr fontId="2" type="noConversion"/>
  </si>
  <si>
    <t>哪吒</t>
  </si>
  <si>
    <t>黑熊精</t>
    <phoneticPr fontId="2" type="noConversion"/>
  </si>
  <si>
    <t>托塔天王</t>
  </si>
  <si>
    <t>托塔天王</t>
    <phoneticPr fontId="2" type="noConversion"/>
  </si>
  <si>
    <t>玉皇大帝</t>
  </si>
  <si>
    <t>太白金星</t>
  </si>
  <si>
    <t>黑无常</t>
    <phoneticPr fontId="2" type="noConversion"/>
  </si>
  <si>
    <t>白无常</t>
    <phoneticPr fontId="2" type="noConversion"/>
  </si>
  <si>
    <t>角色名称</t>
    <phoneticPr fontId="4" type="noConversion"/>
  </si>
  <si>
    <t>龙帝</t>
  </si>
  <si>
    <t>虎力大仙</t>
  </si>
  <si>
    <t>金蝉子</t>
  </si>
  <si>
    <t>紫霞仙子</t>
  </si>
  <si>
    <t>八部天龙</t>
  </si>
  <si>
    <t>羊力大仙</t>
  </si>
  <si>
    <t>沙和尚</t>
  </si>
  <si>
    <t>鹿力大仙</t>
  </si>
  <si>
    <t>白骨夫人</t>
  </si>
  <si>
    <t>混沌</t>
  </si>
  <si>
    <t>迦叶</t>
  </si>
  <si>
    <t>地藏王</t>
  </si>
  <si>
    <t>泾河龙王</t>
  </si>
  <si>
    <t>金钱豹王</t>
  </si>
  <si>
    <t>墨鱼精</t>
  </si>
  <si>
    <t>玉面夫人</t>
  </si>
  <si>
    <t>白龙公主</t>
  </si>
  <si>
    <t>赛太岁</t>
  </si>
  <si>
    <t>仙</t>
    <phoneticPr fontId="4" type="noConversion"/>
  </si>
  <si>
    <t>妖</t>
    <phoneticPr fontId="4" type="noConversion"/>
  </si>
  <si>
    <t>佛</t>
    <phoneticPr fontId="4" type="noConversion"/>
  </si>
  <si>
    <t>斗战胜佛</t>
    <phoneticPr fontId="4" type="noConversion"/>
  </si>
  <si>
    <t>定位</t>
    <phoneticPr fontId="2" type="noConversion"/>
  </si>
  <si>
    <t>T</t>
  </si>
  <si>
    <t>T</t>
    <phoneticPr fontId="2" type="noConversion"/>
  </si>
  <si>
    <t>DPS</t>
  </si>
  <si>
    <t>DPS</t>
    <phoneticPr fontId="2" type="noConversion"/>
  </si>
  <si>
    <t>奶</t>
  </si>
  <si>
    <t>奶</t>
    <phoneticPr fontId="2" type="noConversion"/>
  </si>
  <si>
    <t>修改index</t>
    <phoneticPr fontId="2" type="noConversion"/>
  </si>
  <si>
    <t>牛头</t>
    <phoneticPr fontId="4" type="noConversion"/>
  </si>
  <si>
    <t>马面</t>
    <phoneticPr fontId="4" type="noConversion"/>
  </si>
  <si>
    <t>九天玄女</t>
    <phoneticPr fontId="4" type="noConversion"/>
  </si>
  <si>
    <t>赤脚大仙</t>
    <phoneticPr fontId="4" type="noConversion"/>
  </si>
  <si>
    <t>阎罗王</t>
    <phoneticPr fontId="4" type="noConversion"/>
  </si>
  <si>
    <t>鬼使黑</t>
    <phoneticPr fontId="4" type="noConversion"/>
  </si>
  <si>
    <t>鬼使白</t>
    <phoneticPr fontId="4" type="noConversion"/>
  </si>
  <si>
    <t>弥勒佛</t>
    <phoneticPr fontId="4" type="noConversion"/>
  </si>
  <si>
    <t>文殊菩萨</t>
    <phoneticPr fontId="4" type="noConversion"/>
  </si>
  <si>
    <t>阵营</t>
    <phoneticPr fontId="2" type="noConversion"/>
  </si>
  <si>
    <t>女儿国国王</t>
  </si>
  <si>
    <t>镇元大仙</t>
  </si>
  <si>
    <t>扇子精</t>
    <phoneticPr fontId="2" type="noConversion"/>
  </si>
  <si>
    <t>混世魔王</t>
    <phoneticPr fontId="2" type="noConversion"/>
  </si>
  <si>
    <t>紫</t>
    <phoneticPr fontId="2" type="noConversion"/>
  </si>
  <si>
    <t>人参娃</t>
  </si>
  <si>
    <t>观世音</t>
  </si>
  <si>
    <t>橙</t>
    <phoneticPr fontId="2" type="noConversion"/>
  </si>
  <si>
    <t>奶</t>
    <phoneticPr fontId="2" type="noConversion"/>
  </si>
  <si>
    <t>DPS</t>
    <phoneticPr fontId="2" type="noConversion"/>
  </si>
  <si>
    <t>奶</t>
    <phoneticPr fontId="2" type="noConversion"/>
  </si>
  <si>
    <t>铁扇公主</t>
    <phoneticPr fontId="2" type="noConversion"/>
  </si>
  <si>
    <t>二郎神</t>
    <phoneticPr fontId="2" type="noConversion"/>
  </si>
  <si>
    <t>斗战胜佛</t>
    <phoneticPr fontId="4" type="noConversion"/>
  </si>
  <si>
    <t>紫霞仙子</t>
    <phoneticPr fontId="2" type="noConversion"/>
  </si>
  <si>
    <t>沙和尚</t>
    <phoneticPr fontId="2" type="noConversion"/>
  </si>
  <si>
    <t>孙悟空</t>
    <phoneticPr fontId="2" type="noConversion"/>
  </si>
  <si>
    <t>王母娘娘</t>
    <phoneticPr fontId="2" type="noConversion"/>
  </si>
  <si>
    <t>火尖枪</t>
    <phoneticPr fontId="12" type="noConversion"/>
  </si>
  <si>
    <t>风火轮</t>
    <phoneticPr fontId="12" type="noConversion"/>
  </si>
  <si>
    <t>芭蕉扇</t>
    <phoneticPr fontId="12" type="noConversion"/>
  </si>
  <si>
    <t>混元伞</t>
    <phoneticPr fontId="12" type="noConversion"/>
  </si>
  <si>
    <t>紫金葫芦</t>
    <phoneticPr fontId="12" type="noConversion"/>
  </si>
  <si>
    <t>紫金铃</t>
    <phoneticPr fontId="12" type="noConversion"/>
  </si>
  <si>
    <t>九齿钉耙</t>
    <phoneticPr fontId="12" type="noConversion"/>
  </si>
  <si>
    <t>九环锡杖</t>
    <phoneticPr fontId="12" type="noConversion"/>
  </si>
  <si>
    <t>锦襕袈裟</t>
    <phoneticPr fontId="12" type="noConversion"/>
  </si>
  <si>
    <t>阴阳二气瓶</t>
    <phoneticPr fontId="12" type="noConversion"/>
  </si>
  <si>
    <t>无</t>
    <phoneticPr fontId="12" type="noConversion"/>
  </si>
  <si>
    <t>蓝色经验法宝</t>
  </si>
  <si>
    <t>紫色经验法宝</t>
  </si>
  <si>
    <t>橙色经验法宝</t>
  </si>
  <si>
    <t>寻音铃</t>
    <phoneticPr fontId="12" type="noConversion"/>
  </si>
  <si>
    <t>照妖镜</t>
    <phoneticPr fontId="12" type="noConversion"/>
  </si>
  <si>
    <t>樱月铃</t>
    <phoneticPr fontId="12" type="noConversion"/>
  </si>
  <si>
    <t>迷蝶铃</t>
    <phoneticPr fontId="12" type="noConversion"/>
  </si>
  <si>
    <t>八卦镜</t>
    <phoneticPr fontId="12" type="noConversion"/>
  </si>
  <si>
    <t>龙纹镜</t>
    <phoneticPr fontId="12" type="noConversion"/>
  </si>
  <si>
    <t>幻光铃</t>
    <phoneticPr fontId="12" type="noConversion"/>
  </si>
  <si>
    <t>阴阳镜</t>
    <phoneticPr fontId="12" type="noConversion"/>
  </si>
  <si>
    <t>混元镜</t>
    <phoneticPr fontId="12" type="noConversion"/>
  </si>
  <si>
    <t>七星宣花铃</t>
    <phoneticPr fontId="12" type="noConversion"/>
  </si>
  <si>
    <t>天翎幻音铃</t>
    <phoneticPr fontId="12" type="noConversion"/>
  </si>
  <si>
    <t>太极清源镜</t>
    <phoneticPr fontId="12" type="noConversion"/>
  </si>
  <si>
    <t>羲皇八门镜</t>
    <phoneticPr fontId="12" type="noConversion"/>
  </si>
  <si>
    <t>蓝色经验法宝</t>
    <phoneticPr fontId="12" type="noConversion"/>
  </si>
  <si>
    <t>紫色经验法宝</t>
    <phoneticPr fontId="12" type="noConversion"/>
  </si>
  <si>
    <t>橙色经验法宝</t>
    <phoneticPr fontId="12" type="noConversion"/>
  </si>
  <si>
    <t>紫主</t>
    <phoneticPr fontId="2" type="noConversion"/>
  </si>
  <si>
    <t>紫副</t>
    <phoneticPr fontId="2" type="noConversion"/>
  </si>
  <si>
    <t>橙主</t>
    <phoneticPr fontId="2" type="noConversion"/>
  </si>
  <si>
    <t>橙副</t>
    <phoneticPr fontId="2" type="noConversion"/>
  </si>
  <si>
    <t>红主</t>
    <phoneticPr fontId="2" type="noConversion"/>
  </si>
  <si>
    <t>红副</t>
    <phoneticPr fontId="2" type="noConversion"/>
  </si>
  <si>
    <t>妖族</t>
    <phoneticPr fontId="2" type="noConversion"/>
  </si>
  <si>
    <t>仙族</t>
    <phoneticPr fontId="2" type="noConversion"/>
  </si>
  <si>
    <t>佛族</t>
    <phoneticPr fontId="2" type="noConversion"/>
  </si>
  <si>
    <t>牛魔王</t>
    <phoneticPr fontId="2" type="noConversion"/>
  </si>
  <si>
    <t>虎力大仙</t>
    <phoneticPr fontId="2" type="noConversion"/>
  </si>
  <si>
    <t>沙和尚</t>
    <phoneticPr fontId="2" type="noConversion"/>
  </si>
  <si>
    <t>白骨夫人</t>
    <phoneticPr fontId="2" type="noConversion"/>
  </si>
  <si>
    <t>蜘蛛精</t>
    <phoneticPr fontId="2" type="noConversion"/>
  </si>
  <si>
    <t>混世魔王</t>
    <phoneticPr fontId="2" type="noConversion"/>
  </si>
  <si>
    <t>彩蝶仙童</t>
    <phoneticPr fontId="4" type="noConversion"/>
  </si>
  <si>
    <t>羁绊数量</t>
    <phoneticPr fontId="2" type="noConversion"/>
  </si>
  <si>
    <t>角色</t>
    <phoneticPr fontId="2" type="noConversion"/>
  </si>
  <si>
    <t>羁绊</t>
    <phoneticPr fontId="2" type="noConversion"/>
  </si>
  <si>
    <t>金钱豹王</t>
    <phoneticPr fontId="2" type="noConversion"/>
  </si>
  <si>
    <t>墨鱼精</t>
    <phoneticPr fontId="2" type="noConversion"/>
  </si>
  <si>
    <t>玉面夫人</t>
    <phoneticPr fontId="2" type="noConversion"/>
  </si>
  <si>
    <t>赛太岁</t>
    <phoneticPr fontId="2" type="noConversion"/>
  </si>
  <si>
    <t>中转表格</t>
    <phoneticPr fontId="2" type="noConversion"/>
  </si>
  <si>
    <t>鹿力大仙</t>
    <phoneticPr fontId="2" type="noConversion"/>
  </si>
  <si>
    <t>羊力大仙</t>
    <phoneticPr fontId="2" type="noConversion"/>
  </si>
  <si>
    <t>琴仙</t>
    <phoneticPr fontId="2" type="noConversion"/>
  </si>
  <si>
    <t>奶</t>
    <phoneticPr fontId="2" type="noConversion"/>
  </si>
  <si>
    <t>橙</t>
    <phoneticPr fontId="2" type="noConversion"/>
  </si>
  <si>
    <t>玉兔</t>
  </si>
  <si>
    <t>玉兔</t>
    <phoneticPr fontId="2" type="noConversion"/>
  </si>
  <si>
    <t>妖</t>
    <phoneticPr fontId="4" type="noConversion"/>
  </si>
  <si>
    <t>蟹将</t>
  </si>
  <si>
    <t>蟹将</t>
    <phoneticPr fontId="2" type="noConversion"/>
  </si>
  <si>
    <t>引魂仙子</t>
    <phoneticPr fontId="4" type="noConversion"/>
  </si>
  <si>
    <t>玉兔</t>
    <phoneticPr fontId="2" type="noConversion"/>
  </si>
  <si>
    <t>蟹将</t>
    <phoneticPr fontId="2" type="noConversion"/>
  </si>
  <si>
    <t>孙悟空</t>
    <phoneticPr fontId="2" type="noConversion"/>
  </si>
  <si>
    <t>白骨夫人</t>
    <phoneticPr fontId="2" type="noConversion"/>
  </si>
  <si>
    <t>羊力大仙</t>
    <phoneticPr fontId="2" type="noConversion"/>
  </si>
  <si>
    <t>铁扇公主</t>
  </si>
  <si>
    <t>混世魔王</t>
  </si>
  <si>
    <t>彩蝶仙童</t>
  </si>
  <si>
    <t>扇子精</t>
  </si>
  <si>
    <t>孙悟空</t>
    <phoneticPr fontId="2" type="noConversion"/>
  </si>
  <si>
    <t>玉面夫人</t>
    <phoneticPr fontId="2" type="noConversion"/>
  </si>
  <si>
    <t>英雄名字：</t>
  </si>
  <si>
    <t>羁绊查询器</t>
    <phoneticPr fontId="2" type="noConversion"/>
  </si>
  <si>
    <t>白骨夫人</t>
    <phoneticPr fontId="2" type="noConversion"/>
  </si>
  <si>
    <t>猪八戒</t>
    <phoneticPr fontId="2" type="noConversion"/>
  </si>
  <si>
    <t>转表格</t>
    <phoneticPr fontId="2" type="noConversion"/>
  </si>
  <si>
    <t>斗战胜佛</t>
    <phoneticPr fontId="4" type="noConversion"/>
  </si>
  <si>
    <t>托塔天王</t>
    <phoneticPr fontId="4" type="noConversion"/>
  </si>
  <si>
    <t>弥勒佛</t>
  </si>
  <si>
    <t>黑无常</t>
  </si>
  <si>
    <t>牛魔王</t>
    <phoneticPr fontId="4" type="noConversion"/>
  </si>
  <si>
    <t>孙悟空</t>
    <phoneticPr fontId="4" type="noConversion"/>
  </si>
  <si>
    <t>白无常</t>
  </si>
  <si>
    <t>沙和尚</t>
    <phoneticPr fontId="4" type="noConversion"/>
  </si>
  <si>
    <t>文殊菩萨</t>
  </si>
  <si>
    <t>八部天龙</t>
    <phoneticPr fontId="4" type="noConversion"/>
  </si>
  <si>
    <t>九天玄女</t>
  </si>
  <si>
    <t>观世音</t>
    <phoneticPr fontId="4" type="noConversion"/>
  </si>
  <si>
    <t>人参娃</t>
    <phoneticPr fontId="4" type="noConversion"/>
  </si>
  <si>
    <t>阎罗王</t>
  </si>
  <si>
    <t>彩蝶仙童</t>
    <phoneticPr fontId="4" type="noConversion"/>
  </si>
  <si>
    <t>引魂仙子</t>
  </si>
  <si>
    <t>赤脚大仙</t>
  </si>
  <si>
    <t>泾河龙王</t>
    <phoneticPr fontId="4" type="noConversion"/>
  </si>
  <si>
    <t>牛头</t>
  </si>
  <si>
    <t>鬼使黑</t>
    <phoneticPr fontId="4" type="noConversion"/>
  </si>
  <si>
    <t>马面</t>
  </si>
  <si>
    <t>鬼使白</t>
    <phoneticPr fontId="4" type="noConversion"/>
  </si>
  <si>
    <t>玉兔</t>
    <phoneticPr fontId="4" type="noConversion"/>
  </si>
  <si>
    <t>狮人-光启</t>
  </si>
  <si>
    <t>狮人-立辉</t>
  </si>
  <si>
    <t>石人-博达</t>
    <phoneticPr fontId="4" type="noConversion"/>
  </si>
  <si>
    <t>石人-离落</t>
    <phoneticPr fontId="4" type="noConversion"/>
  </si>
  <si>
    <t>石人-安和</t>
    <phoneticPr fontId="4" type="noConversion"/>
  </si>
  <si>
    <t>黑熊精</t>
  </si>
  <si>
    <t>蟒精-雅芙</t>
    <phoneticPr fontId="4" type="noConversion"/>
  </si>
  <si>
    <t>蟒精-依娜</t>
    <phoneticPr fontId="4" type="noConversion"/>
  </si>
  <si>
    <t>狐狸-优璇</t>
    <phoneticPr fontId="4" type="noConversion"/>
  </si>
  <si>
    <t>狐狸-茹雪</t>
    <phoneticPr fontId="4" type="noConversion"/>
  </si>
  <si>
    <t>狐狸-若火</t>
    <phoneticPr fontId="4" type="noConversion"/>
  </si>
  <si>
    <t>鲛人-嫦曦</t>
  </si>
  <si>
    <t>鲛人-月婵</t>
  </si>
  <si>
    <t>琴仙</t>
  </si>
  <si>
    <t>夜叉-金利</t>
  </si>
  <si>
    <t>夜叉-碧涛</t>
  </si>
  <si>
    <t>天兵-金斌</t>
  </si>
  <si>
    <t>天兵-政仲</t>
  </si>
  <si>
    <t>天兵-火夕</t>
  </si>
  <si>
    <t>狼人-霍金</t>
  </si>
  <si>
    <t>狼人-霍文</t>
  </si>
  <si>
    <t>狼人-霍达</t>
  </si>
  <si>
    <t>狼人-霍格</t>
  </si>
  <si>
    <t>狼人-霍武</t>
  </si>
  <si>
    <t>骷髅-德明</t>
    <phoneticPr fontId="4" type="noConversion"/>
  </si>
  <si>
    <t>骷髅-奇伟</t>
    <phoneticPr fontId="4" type="noConversion"/>
  </si>
  <si>
    <t>骷髅-德元</t>
    <phoneticPr fontId="4" type="noConversion"/>
  </si>
  <si>
    <t>骷髅-彭泽</t>
    <phoneticPr fontId="4" type="noConversion"/>
  </si>
  <si>
    <t>蜘蛛-元瑶</t>
  </si>
  <si>
    <t>蜘蛛-怜寒</t>
  </si>
  <si>
    <t>蜘蛛-盼香</t>
  </si>
  <si>
    <t>女鬼-歆瑶</t>
  </si>
  <si>
    <t>女鬼-桑榆</t>
  </si>
  <si>
    <t>女鬼-语嫣</t>
  </si>
  <si>
    <t>女鬼-凌菲</t>
  </si>
  <si>
    <t>猴兵</t>
  </si>
  <si>
    <t>山贼</t>
  </si>
  <si>
    <t>虾兵</t>
    <phoneticPr fontId="4" type="noConversion"/>
  </si>
  <si>
    <t>侍女</t>
    <phoneticPr fontId="4" type="noConversion"/>
  </si>
  <si>
    <t>强盗</t>
    <phoneticPr fontId="4" type="noConversion"/>
  </si>
  <si>
    <t>野猪怪</t>
    <phoneticPr fontId="4" type="noConversion"/>
  </si>
  <si>
    <t>蟹将</t>
    <phoneticPr fontId="4" type="noConversion"/>
  </si>
  <si>
    <t>狂豹</t>
    <phoneticPr fontId="4" type="noConversion"/>
  </si>
  <si>
    <t>护卫</t>
    <phoneticPr fontId="4" type="noConversion"/>
  </si>
  <si>
    <t>龟丞相</t>
    <phoneticPr fontId="4" type="noConversion"/>
  </si>
  <si>
    <t>炎魔</t>
    <phoneticPr fontId="4" type="noConversion"/>
  </si>
  <si>
    <t>天将</t>
    <phoneticPr fontId="4" type="noConversion"/>
  </si>
  <si>
    <t>九头虫</t>
    <phoneticPr fontId="4" type="noConversion"/>
  </si>
  <si>
    <t>镇元大仙</t>
    <phoneticPr fontId="4" type="noConversion"/>
  </si>
  <si>
    <t>如来佛祖</t>
    <phoneticPr fontId="4" type="noConversion"/>
  </si>
  <si>
    <t>孔雀大明王</t>
    <phoneticPr fontId="4" type="noConversion"/>
  </si>
  <si>
    <t>观世阴</t>
    <phoneticPr fontId="4" type="noConversion"/>
  </si>
  <si>
    <t>扇子精</t>
    <phoneticPr fontId="4" type="noConversion"/>
  </si>
  <si>
    <t>太上老君</t>
    <phoneticPr fontId="4" type="noConversion"/>
  </si>
  <si>
    <t>紫霞仙子</t>
    <phoneticPr fontId="4" type="noConversion"/>
  </si>
  <si>
    <t>铁扇公主</t>
    <phoneticPr fontId="4" type="noConversion"/>
  </si>
  <si>
    <t>jiban_hero_id</t>
    <phoneticPr fontId="2" type="noConversion"/>
  </si>
  <si>
    <t>hero_id</t>
  </si>
  <si>
    <t>jiban_id</t>
    <phoneticPr fontId="2" type="noConversion"/>
  </si>
  <si>
    <t>jiban_name</t>
    <phoneticPr fontId="2" type="noConversion"/>
  </si>
  <si>
    <t>head_nezha</t>
  </si>
  <si>
    <t>head_douzhanshengfo</t>
  </si>
  <si>
    <t>head_erlangshen</t>
  </si>
  <si>
    <t>head_tuotatianwang</t>
    <phoneticPr fontId="4" type="noConversion"/>
  </si>
  <si>
    <t>head_hulidaxian</t>
  </si>
  <si>
    <t>head_zhubajie</t>
  </si>
  <si>
    <t>head_milefo</t>
  </si>
  <si>
    <t>head_jinchanzi</t>
  </si>
  <si>
    <t>head_heiwuchang</t>
  </si>
  <si>
    <t>head_niumowang</t>
  </si>
  <si>
    <t>head_sunwukong</t>
  </si>
  <si>
    <t>head_wangmuniangniang</t>
  </si>
  <si>
    <t>head_baiwuchang</t>
  </si>
  <si>
    <t>head_shaheshang</t>
  </si>
  <si>
    <t>head_wenshupusa</t>
  </si>
  <si>
    <t>head_longdi</t>
  </si>
  <si>
    <t>head_babutianlong</t>
  </si>
  <si>
    <t>head_change</t>
  </si>
  <si>
    <t>head_jiutianxuannv</t>
  </si>
  <si>
    <t>head_tieshangongzhu</t>
  </si>
  <si>
    <t>head_baigufuren</t>
  </si>
  <si>
    <t>head_zixiaxianzi</t>
  </si>
  <si>
    <t>head_guanshiyin</t>
    <phoneticPr fontId="4" type="noConversion"/>
  </si>
  <si>
    <t>head_lulidaxian</t>
  </si>
  <si>
    <t>head_honghaier</t>
  </si>
  <si>
    <t>head_yuhuangdadi</t>
  </si>
  <si>
    <t>head_donghailongwang</t>
  </si>
  <si>
    <t>head_hunshimowang</t>
  </si>
  <si>
    <t>head_jiaye</t>
  </si>
  <si>
    <t>head_renshenwa</t>
    <phoneticPr fontId="4" type="noConversion"/>
  </si>
  <si>
    <t>head_xiaobailong</t>
  </si>
  <si>
    <t>head_liuermihou</t>
  </si>
  <si>
    <t>head_yanluowang</t>
  </si>
  <si>
    <t>head_xiezijing</t>
  </si>
  <si>
    <t>head_zhizhujing</t>
  </si>
  <si>
    <t>head_taibaijinxing</t>
  </si>
  <si>
    <t>head_yanglidaxian</t>
  </si>
  <si>
    <t>head_caidiexiantong</t>
  </si>
  <si>
    <t>head_tangsanzang</t>
  </si>
  <si>
    <t>head_yinhunxianzi</t>
  </si>
  <si>
    <t>head_jinqianbaowang</t>
  </si>
  <si>
    <t>head_moyujing</t>
  </si>
  <si>
    <t>head_chijiaodaxian</t>
  </si>
  <si>
    <t>head_jinghelongwang</t>
  </si>
  <si>
    <t>head_niutou</t>
  </si>
  <si>
    <t>head_dizangwang</t>
  </si>
  <si>
    <t>head_guishihei</t>
  </si>
  <si>
    <t>head_mamian</t>
  </si>
  <si>
    <t>head_leigong</t>
  </si>
  <si>
    <t>head_guishibai</t>
  </si>
  <si>
    <t>head_hundun</t>
  </si>
  <si>
    <t>head_bailonggongzhu</t>
  </si>
  <si>
    <t>head_yumianfuren</t>
  </si>
  <si>
    <t>head_heixiongjing</t>
  </si>
  <si>
    <t>head_qinxian</t>
  </si>
  <si>
    <t>head_houbing</t>
  </si>
  <si>
    <t>head_shanzei</t>
  </si>
  <si>
    <t>head_tianjiang</t>
  </si>
  <si>
    <t>head_nverguoguowang</t>
    <phoneticPr fontId="4" type="noConversion"/>
  </si>
  <si>
    <t>head_saitaisui</t>
    <phoneticPr fontId="4" type="noConversion"/>
  </si>
  <si>
    <t>head_yutu</t>
    <phoneticPr fontId="4" type="noConversion"/>
  </si>
  <si>
    <t>head_shiren_guangqi</t>
    <phoneticPr fontId="4" type="noConversion"/>
  </si>
  <si>
    <t>head_shiren_lihui</t>
    <phoneticPr fontId="4" type="noConversion"/>
  </si>
  <si>
    <t>head_shiren_boda</t>
    <phoneticPr fontId="4" type="noConversion"/>
  </si>
  <si>
    <t>head_shiren_liluo</t>
    <phoneticPr fontId="4" type="noConversion"/>
  </si>
  <si>
    <t>head_shiren_anhe</t>
    <phoneticPr fontId="4" type="noConversion"/>
  </si>
  <si>
    <t>head_mangjing_yafu</t>
    <phoneticPr fontId="4" type="noConversion"/>
  </si>
  <si>
    <t>head_mangjing_yina</t>
    <phoneticPr fontId="4" type="noConversion"/>
  </si>
  <si>
    <t>head_huli_youxuan</t>
    <phoneticPr fontId="4" type="noConversion"/>
  </si>
  <si>
    <t>head_huli_ruxue</t>
    <phoneticPr fontId="4" type="noConversion"/>
  </si>
  <si>
    <t>head_huli_ruohuo</t>
    <phoneticPr fontId="4" type="noConversion"/>
  </si>
  <si>
    <t>head_jiaoren_changxi</t>
    <phoneticPr fontId="4" type="noConversion"/>
  </si>
  <si>
    <t>head_jiaoren_yuechan</t>
    <phoneticPr fontId="4" type="noConversion"/>
  </si>
  <si>
    <t>head_yecha_jinli</t>
    <phoneticPr fontId="4" type="noConversion"/>
  </si>
  <si>
    <t>head_yecha_bitao</t>
    <phoneticPr fontId="4" type="noConversion"/>
  </si>
  <si>
    <t>head_tianbing_jinbing</t>
    <phoneticPr fontId="4" type="noConversion"/>
  </si>
  <si>
    <t>head_tianbing_zhengzhong</t>
    <phoneticPr fontId="4" type="noConversion"/>
  </si>
  <si>
    <t>head_tianbing_huoxi</t>
    <phoneticPr fontId="4" type="noConversion"/>
  </si>
  <si>
    <t>head_langren_huojing</t>
    <phoneticPr fontId="4" type="noConversion"/>
  </si>
  <si>
    <t>head_langren_huowen</t>
    <phoneticPr fontId="4" type="noConversion"/>
  </si>
  <si>
    <t>head_langren_huoda</t>
    <phoneticPr fontId="4" type="noConversion"/>
  </si>
  <si>
    <t>head_langren_huoge</t>
    <phoneticPr fontId="4" type="noConversion"/>
  </si>
  <si>
    <t>head_langren_huowu</t>
    <phoneticPr fontId="4" type="noConversion"/>
  </si>
  <si>
    <t>head_kulou_deming</t>
    <phoneticPr fontId="4" type="noConversion"/>
  </si>
  <si>
    <t>head_kulou_qiwei</t>
    <phoneticPr fontId="4" type="noConversion"/>
  </si>
  <si>
    <t>head_kulou_deyuan</t>
    <phoneticPr fontId="4" type="noConversion"/>
  </si>
  <si>
    <t>head_kulou_pengze</t>
    <phoneticPr fontId="4" type="noConversion"/>
  </si>
  <si>
    <t>head_zhizhu_yuanyao</t>
    <phoneticPr fontId="4" type="noConversion"/>
  </si>
  <si>
    <t>head_zhizhu_lianhan</t>
    <phoneticPr fontId="4" type="noConversion"/>
  </si>
  <si>
    <t>head_zhizhu_panxiang</t>
    <phoneticPr fontId="4" type="noConversion"/>
  </si>
  <si>
    <t>head_nvgui_xinyao</t>
    <phoneticPr fontId="4" type="noConversion"/>
  </si>
  <si>
    <t>head_nvgui_sangyu</t>
    <phoneticPr fontId="4" type="noConversion"/>
  </si>
  <si>
    <t>head_nvgui_yuyan</t>
    <phoneticPr fontId="4" type="noConversion"/>
  </si>
  <si>
    <t>head_nvgui_lingfei</t>
    <phoneticPr fontId="4" type="noConversion"/>
  </si>
  <si>
    <t>head_xiabing</t>
    <phoneticPr fontId="4" type="noConversion"/>
  </si>
  <si>
    <t>head_shinv</t>
    <phoneticPr fontId="4" type="noConversion"/>
  </si>
  <si>
    <t>head_qiangdao</t>
    <phoneticPr fontId="4" type="noConversion"/>
  </si>
  <si>
    <t>head_yezhuguai</t>
    <phoneticPr fontId="4" type="noConversion"/>
  </si>
  <si>
    <t>head_xiejiang</t>
    <phoneticPr fontId="4" type="noConversion"/>
  </si>
  <si>
    <t>head_kuangbao</t>
    <phoneticPr fontId="4" type="noConversion"/>
  </si>
  <si>
    <t>head_huwei</t>
    <phoneticPr fontId="4" type="noConversion"/>
  </si>
  <si>
    <t>head_guichengxiang</t>
    <phoneticPr fontId="4" type="noConversion"/>
  </si>
  <si>
    <t>head_yanmo</t>
    <phoneticPr fontId="4" type="noConversion"/>
  </si>
  <si>
    <t>head_kongquedamingwang</t>
    <phoneticPr fontId="4" type="noConversion"/>
  </si>
  <si>
    <t>head_shanzijing</t>
    <phoneticPr fontId="4" type="noConversion"/>
  </si>
  <si>
    <t>avatar_icon</t>
    <phoneticPr fontId="2" type="noConversion"/>
  </si>
  <si>
    <t>jiban_tubiao</t>
    <phoneticPr fontId="2" type="noConversion"/>
  </si>
  <si>
    <t>妖2人羁绊6</t>
  </si>
  <si>
    <t>妖2人羁绊7</t>
  </si>
  <si>
    <t>妖2人羁绊8</t>
  </si>
  <si>
    <t>妖2人羁绊9</t>
  </si>
  <si>
    <t>妖2人羁绊10</t>
  </si>
  <si>
    <t>妖2人羁绊11</t>
  </si>
  <si>
    <t>妖2人羁绊12</t>
  </si>
  <si>
    <t>妖2人羁绊13</t>
  </si>
  <si>
    <t>妖2人羁绊14</t>
  </si>
  <si>
    <t>妖2人羁绊15</t>
  </si>
  <si>
    <t>妖2人羁绊16</t>
  </si>
  <si>
    <t>妖2人羁绊17</t>
  </si>
  <si>
    <t>妖2人羁绊18</t>
  </si>
  <si>
    <t>妖2人羁绊19</t>
  </si>
  <si>
    <t>妖3人羁绊9</t>
    <phoneticPr fontId="2" type="noConversion"/>
  </si>
  <si>
    <t>妖3人羁绊10</t>
    <phoneticPr fontId="2" type="noConversion"/>
  </si>
  <si>
    <t>妖2人羁绊23</t>
    <phoneticPr fontId="2" type="noConversion"/>
  </si>
  <si>
    <t>妖2人羁绊24</t>
  </si>
  <si>
    <t>妖2人羁绊25</t>
  </si>
  <si>
    <t>妖2人羁绊26</t>
  </si>
  <si>
    <t>妖2人羁绊27</t>
  </si>
  <si>
    <t>妖2人羁绊28</t>
  </si>
  <si>
    <t>妖2人羁绊29</t>
  </si>
  <si>
    <t>妖2人羁绊30</t>
  </si>
  <si>
    <t>妖族羁绊</t>
    <phoneticPr fontId="2" type="noConversion"/>
  </si>
  <si>
    <t>孙悟空</t>
    <phoneticPr fontId="2" type="noConversion"/>
  </si>
  <si>
    <t>佛4人羁绊1</t>
    <phoneticPr fontId="2" type="noConversion"/>
  </si>
  <si>
    <t>佛4人羁绊2</t>
  </si>
  <si>
    <t>佛3人羁绊1</t>
    <phoneticPr fontId="2" type="noConversion"/>
  </si>
  <si>
    <t>佛3人羁绊2</t>
  </si>
  <si>
    <t>佛3人羁绊3</t>
  </si>
  <si>
    <t>佛3人羁绊4</t>
  </si>
  <si>
    <t>佛3人羁绊5</t>
  </si>
  <si>
    <t>佛3人羁绊6</t>
  </si>
  <si>
    <t>佛3人羁绊7</t>
  </si>
  <si>
    <t>佛3人羁绊8</t>
  </si>
  <si>
    <t>佛3人羁绊9</t>
    <phoneticPr fontId="2" type="noConversion"/>
  </si>
  <si>
    <t>佛3人羁绊10</t>
  </si>
  <si>
    <t>佛2人羁绊1</t>
    <phoneticPr fontId="2" type="noConversion"/>
  </si>
  <si>
    <t>佛2人羁绊2</t>
  </si>
  <si>
    <t>佛2人羁绊3</t>
  </si>
  <si>
    <t>佛2人羁绊4</t>
  </si>
  <si>
    <t>佛2人羁绊5</t>
  </si>
  <si>
    <t>佛2人羁绊6</t>
  </si>
  <si>
    <t>佛2人羁绊7</t>
  </si>
  <si>
    <t>佛2人羁绊8</t>
  </si>
  <si>
    <t>佛2人羁绊9</t>
  </si>
  <si>
    <t>佛2人羁绊10</t>
  </si>
  <si>
    <t>佛2人羁绊11</t>
  </si>
  <si>
    <t>佛2人羁绊12</t>
  </si>
  <si>
    <t>佛2人羁绊13</t>
  </si>
  <si>
    <t>佛2人羁绊14</t>
  </si>
  <si>
    <t>佛2人羁绊15</t>
  </si>
  <si>
    <t>佛2人羁绊16</t>
  </si>
  <si>
    <t>佛2人羁绊17</t>
  </si>
  <si>
    <t>佛2人羁绊18</t>
  </si>
  <si>
    <t>佛2人羁绊19</t>
  </si>
  <si>
    <t>佛2人羁绊20</t>
  </si>
  <si>
    <t>佛2人羁绊21</t>
  </si>
  <si>
    <t>佛2人羁绊22</t>
  </si>
  <si>
    <t>佛2人羁绊23</t>
    <phoneticPr fontId="2" type="noConversion"/>
  </si>
  <si>
    <t>佛2人羁绊24</t>
  </si>
  <si>
    <t>佛2人羁绊25</t>
  </si>
  <si>
    <t>佛2人羁绊26</t>
  </si>
  <si>
    <t>佛2人羁绊27</t>
  </si>
  <si>
    <t>佛2人羁绊28</t>
  </si>
  <si>
    <t>佛2人羁绊29</t>
  </si>
  <si>
    <t>佛2人羁绊30</t>
  </si>
  <si>
    <t>仙族羁绊</t>
    <phoneticPr fontId="2" type="noConversion"/>
  </si>
  <si>
    <t>仙4人羁绊1</t>
    <phoneticPr fontId="2" type="noConversion"/>
  </si>
  <si>
    <t>仙4人羁绊2</t>
  </si>
  <si>
    <t>仙3人羁绊1</t>
    <phoneticPr fontId="2" type="noConversion"/>
  </si>
  <si>
    <t>仙3人羁绊2</t>
  </si>
  <si>
    <t>仙3人羁绊3</t>
  </si>
  <si>
    <t>仙3人羁绊4</t>
  </si>
  <si>
    <t>仙3人羁绊5</t>
  </si>
  <si>
    <t>仙3人羁绊6</t>
  </si>
  <si>
    <t>仙3人羁绊7</t>
  </si>
  <si>
    <t>仙3人羁绊8</t>
  </si>
  <si>
    <t>仙2人羁绊1</t>
    <phoneticPr fontId="2" type="noConversion"/>
  </si>
  <si>
    <t>仙2人羁绊2</t>
  </si>
  <si>
    <t>仙2人羁绊3</t>
  </si>
  <si>
    <t>仙2人羁绊4</t>
  </si>
  <si>
    <t>仙2人羁绊5</t>
  </si>
  <si>
    <t>仙2人羁绊6</t>
  </si>
  <si>
    <t>仙2人羁绊7</t>
  </si>
  <si>
    <t>仙2人羁绊8</t>
  </si>
  <si>
    <t>仙2人羁绊9</t>
  </si>
  <si>
    <t>仙2人羁绊10</t>
  </si>
  <si>
    <t>仙2人羁绊11</t>
  </si>
  <si>
    <t>仙2人羁绊12</t>
  </si>
  <si>
    <t>仙2人羁绊13</t>
  </si>
  <si>
    <t>仙2人羁绊14</t>
  </si>
  <si>
    <t>仙2人羁绊15</t>
  </si>
  <si>
    <t>仙2人羁绊16</t>
  </si>
  <si>
    <t>仙2人羁绊17</t>
  </si>
  <si>
    <t>仙2人羁绊18</t>
  </si>
  <si>
    <t>仙2人羁绊19</t>
  </si>
  <si>
    <t>仙2人羁绊20</t>
  </si>
  <si>
    <t>仙2人羁绊21</t>
  </si>
  <si>
    <t>仙2人羁绊22</t>
    <phoneticPr fontId="2" type="noConversion"/>
  </si>
  <si>
    <t>仙3人羁绊9</t>
    <phoneticPr fontId="2" type="noConversion"/>
  </si>
  <si>
    <t>仙2人羁绊23</t>
    <phoneticPr fontId="2" type="noConversion"/>
  </si>
  <si>
    <t>仙2人羁绊24</t>
  </si>
  <si>
    <t>仙2人羁绊25</t>
  </si>
  <si>
    <t>仙2人羁绊26</t>
  </si>
  <si>
    <t>仙2人羁绊27</t>
  </si>
  <si>
    <t>仙2人羁绊28</t>
  </si>
  <si>
    <t>仙2人羁绊29</t>
  </si>
  <si>
    <t>仙2人羁绊30</t>
  </si>
  <si>
    <t>佛族羁绊</t>
    <phoneticPr fontId="2" type="noConversion"/>
  </si>
  <si>
    <t>name</t>
    <phoneticPr fontId="2" type="noConversion"/>
  </si>
  <si>
    <t>jiban_npc</t>
    <phoneticPr fontId="2" type="noConversion"/>
  </si>
  <si>
    <t>女主角</t>
  </si>
  <si>
    <t>男主角</t>
  </si>
  <si>
    <t>斗战胜佛</t>
  </si>
  <si>
    <t>鬼使黑</t>
  </si>
  <si>
    <t>鬼使白</t>
  </si>
  <si>
    <t>石人-博达</t>
  </si>
  <si>
    <t>石人-离落</t>
  </si>
  <si>
    <t>石人-安和</t>
  </si>
  <si>
    <t>蟒精-雅芙</t>
  </si>
  <si>
    <t>蟒精-依娜</t>
  </si>
  <si>
    <t>狐狸-优璇</t>
  </si>
  <si>
    <t>狐狸-茹雪</t>
  </si>
  <si>
    <t>狐狸-若火</t>
  </si>
  <si>
    <t>骷髅-德明</t>
  </si>
  <si>
    <t>骷髅-奇伟</t>
  </si>
  <si>
    <t>骷髅-德元</t>
  </si>
  <si>
    <t>骷髅-彭泽</t>
  </si>
  <si>
    <t>虾兵</t>
  </si>
  <si>
    <t>侍女</t>
  </si>
  <si>
    <t>强盗</t>
  </si>
  <si>
    <t>野猪怪</t>
  </si>
  <si>
    <t>狂豹</t>
  </si>
  <si>
    <t>护卫</t>
  </si>
  <si>
    <t>龟丞相</t>
  </si>
  <si>
    <t>炎魔</t>
  </si>
  <si>
    <t>天将</t>
  </si>
  <si>
    <t>九头虫</t>
  </si>
  <si>
    <t>如来佛祖</t>
  </si>
  <si>
    <t>孔雀大明王</t>
  </si>
  <si>
    <t>观世阴</t>
  </si>
  <si>
    <t>太上老君</t>
  </si>
  <si>
    <t>火尖枪</t>
    <phoneticPr fontId="12" type="noConversion"/>
  </si>
  <si>
    <t>风火轮</t>
    <phoneticPr fontId="12" type="noConversion"/>
  </si>
  <si>
    <t>照妖镜</t>
  </si>
  <si>
    <t>幌金绳</t>
  </si>
  <si>
    <t>紫金葫芦</t>
    <phoneticPr fontId="12" type="noConversion"/>
  </si>
  <si>
    <t>芭蕉扇</t>
    <phoneticPr fontId="12" type="noConversion"/>
  </si>
  <si>
    <t>紫金铃</t>
    <phoneticPr fontId="12" type="noConversion"/>
  </si>
  <si>
    <t>混元伞</t>
    <phoneticPr fontId="12" type="noConversion"/>
  </si>
  <si>
    <t>点星芒</t>
    <phoneticPr fontId="12" type="noConversion"/>
  </si>
  <si>
    <t>金玉缘</t>
    <phoneticPr fontId="12" type="noConversion"/>
  </si>
  <si>
    <t>九齿钉耙</t>
    <phoneticPr fontId="12" type="noConversion"/>
  </si>
  <si>
    <t>锦襕袈裟</t>
    <phoneticPr fontId="12" type="noConversion"/>
  </si>
  <si>
    <t>阴阳二气瓶</t>
    <phoneticPr fontId="12" type="noConversion"/>
  </si>
  <si>
    <t>九环锡杖</t>
    <phoneticPr fontId="12" type="noConversion"/>
  </si>
  <si>
    <t>鎏金点翠</t>
    <phoneticPr fontId="12" type="noConversion"/>
  </si>
  <si>
    <t>紫金曼陀</t>
    <phoneticPr fontId="12" type="noConversion"/>
  </si>
  <si>
    <t>红色经验法宝</t>
  </si>
  <si>
    <t>fabao_id</t>
    <phoneticPr fontId="2" type="noConversion"/>
  </si>
  <si>
    <t>fabao_icon</t>
  </si>
  <si>
    <t>寻音铃</t>
    <phoneticPr fontId="12" type="noConversion"/>
  </si>
  <si>
    <t>照妖镜</t>
    <phoneticPr fontId="12" type="noConversion"/>
  </si>
  <si>
    <t>樱月铃</t>
    <phoneticPr fontId="12" type="noConversion"/>
  </si>
  <si>
    <t>迷蝶铃</t>
    <phoneticPr fontId="12" type="noConversion"/>
  </si>
  <si>
    <t>八卦镜</t>
    <phoneticPr fontId="12" type="noConversion"/>
  </si>
  <si>
    <t>龙纹镜</t>
    <phoneticPr fontId="12" type="noConversion"/>
  </si>
  <si>
    <t>幻光铃</t>
    <phoneticPr fontId="12" type="noConversion"/>
  </si>
  <si>
    <t>阴阳镜</t>
    <phoneticPr fontId="12" type="noConversion"/>
  </si>
  <si>
    <t>混元镜</t>
    <phoneticPr fontId="12" type="noConversion"/>
  </si>
  <si>
    <t>白骨夫人</t>
    <phoneticPr fontId="2" type="noConversion"/>
  </si>
  <si>
    <t>情迷蛛女</t>
    <phoneticPr fontId="2" type="noConversion"/>
  </si>
  <si>
    <t>乱斗三界</t>
    <phoneticPr fontId="2" type="noConversion"/>
  </si>
  <si>
    <t>平顶斗法</t>
    <phoneticPr fontId="2" type="noConversion"/>
  </si>
  <si>
    <t>飞沙走石</t>
    <phoneticPr fontId="2" type="noConversion"/>
  </si>
  <si>
    <t>威震四方</t>
    <phoneticPr fontId="2" type="noConversion"/>
  </si>
  <si>
    <t>芳心暗许</t>
    <phoneticPr fontId="2" type="noConversion"/>
  </si>
  <si>
    <t>千娇百媚</t>
    <phoneticPr fontId="2" type="noConversion"/>
  </si>
  <si>
    <t>迷津蝶影</t>
    <phoneticPr fontId="2" type="noConversion"/>
  </si>
  <si>
    <t>真假猴王</t>
    <phoneticPr fontId="2" type="noConversion"/>
  </si>
  <si>
    <t>夺命罗刹</t>
    <phoneticPr fontId="2" type="noConversion"/>
  </si>
  <si>
    <t>冰肌玉肤</t>
    <phoneticPr fontId="2" type="noConversion"/>
  </si>
  <si>
    <t>妩媚多情</t>
    <phoneticPr fontId="2" type="noConversion"/>
  </si>
  <si>
    <t>蛇蝎美人</t>
    <phoneticPr fontId="2" type="noConversion"/>
  </si>
  <si>
    <t>婀娜多姿</t>
    <phoneticPr fontId="2" type="noConversion"/>
  </si>
  <si>
    <t>心狠手辣</t>
    <phoneticPr fontId="2" type="noConversion"/>
  </si>
  <si>
    <t>明眉皓齿</t>
    <phoneticPr fontId="2" type="noConversion"/>
  </si>
  <si>
    <t>征战不休</t>
    <phoneticPr fontId="2" type="noConversion"/>
  </si>
  <si>
    <t>纯真无邪</t>
    <phoneticPr fontId="2" type="noConversion"/>
  </si>
  <si>
    <t>为情所困</t>
    <phoneticPr fontId="2" type="noConversion"/>
  </si>
  <si>
    <t>天真烂漫</t>
    <phoneticPr fontId="2" type="noConversion"/>
  </si>
  <si>
    <t>天造地设</t>
    <phoneticPr fontId="2" type="noConversion"/>
  </si>
  <si>
    <t>神威万古</t>
    <phoneticPr fontId="2" type="noConversion"/>
  </si>
  <si>
    <t>法力无边</t>
    <phoneticPr fontId="2" type="noConversion"/>
  </si>
  <si>
    <t>上天入海</t>
    <phoneticPr fontId="2" type="noConversion"/>
  </si>
  <si>
    <t>仙府栋梁</t>
    <phoneticPr fontId="2" type="noConversion"/>
  </si>
  <si>
    <t>仙姿玉色</t>
    <phoneticPr fontId="2" type="noConversion"/>
  </si>
  <si>
    <t>神通广大</t>
    <phoneticPr fontId="2" type="noConversion"/>
  </si>
  <si>
    <t>天仙传奇</t>
    <phoneticPr fontId="2" type="noConversion"/>
  </si>
  <si>
    <t>仙府重臣</t>
  </si>
  <si>
    <t>绝代风华</t>
    <phoneticPr fontId="2" type="noConversion"/>
  </si>
  <si>
    <t>斩妖除魔</t>
    <phoneticPr fontId="2" type="noConversion"/>
  </si>
  <si>
    <t>铁面无私</t>
    <phoneticPr fontId="2" type="noConversion"/>
  </si>
  <si>
    <t>雷霆之怒</t>
    <phoneticPr fontId="2" type="noConversion"/>
  </si>
  <si>
    <t>忠于职守</t>
    <phoneticPr fontId="2" type="noConversion"/>
  </si>
  <si>
    <t>战神无敌</t>
    <phoneticPr fontId="2" type="noConversion"/>
  </si>
  <si>
    <t>天庭舅甥</t>
    <phoneticPr fontId="2" type="noConversion"/>
  </si>
  <si>
    <t>玉帝近臣</t>
    <phoneticPr fontId="2" type="noConversion"/>
  </si>
  <si>
    <t>天庭君臣</t>
    <phoneticPr fontId="2" type="noConversion"/>
  </si>
  <si>
    <t>仙家威严</t>
    <phoneticPr fontId="2" type="noConversion"/>
  </si>
  <si>
    <t>地海之源</t>
    <phoneticPr fontId="2" type="noConversion"/>
  </si>
  <si>
    <t>灵霄守卫</t>
    <phoneticPr fontId="2" type="noConversion"/>
  </si>
  <si>
    <t>天将地仙</t>
    <phoneticPr fontId="2" type="noConversion"/>
  </si>
  <si>
    <t>情投意合</t>
    <phoneticPr fontId="2" type="noConversion"/>
  </si>
  <si>
    <t>心腹重臣</t>
    <phoneticPr fontId="2" type="noConversion"/>
  </si>
  <si>
    <t>睚眦必报</t>
    <phoneticPr fontId="2" type="noConversion"/>
  </si>
  <si>
    <t>瑶池之宴</t>
    <phoneticPr fontId="2" type="noConversion"/>
  </si>
  <si>
    <t>萍水相逢</t>
    <phoneticPr fontId="2" type="noConversion"/>
  </si>
  <si>
    <t>执掌生死</t>
    <phoneticPr fontId="2" type="noConversion"/>
  </si>
  <si>
    <t>股肱之臣</t>
    <phoneticPr fontId="2" type="noConversion"/>
  </si>
  <si>
    <t>道法无边</t>
    <phoneticPr fontId="2" type="noConversion"/>
  </si>
  <si>
    <t>各显神通</t>
    <phoneticPr fontId="2" type="noConversion"/>
  </si>
  <si>
    <t>瑶池赴宴</t>
    <phoneticPr fontId="2" type="noConversion"/>
  </si>
  <si>
    <t>佛法无边</t>
    <phoneticPr fontId="2" type="noConversion"/>
  </si>
  <si>
    <t>灭世妖佛</t>
    <phoneticPr fontId="2" type="noConversion"/>
  </si>
  <si>
    <t>妖佛对质</t>
    <phoneticPr fontId="2" type="noConversion"/>
  </si>
  <si>
    <t>妖神护佑</t>
    <phoneticPr fontId="2" type="noConversion"/>
  </si>
  <si>
    <t>斗战不休</t>
    <phoneticPr fontId="2" type="noConversion"/>
  </si>
  <si>
    <t>冰清玉洁</t>
    <phoneticPr fontId="2" type="noConversion"/>
  </si>
  <si>
    <t>笑里藏刀</t>
    <phoneticPr fontId="2" type="noConversion"/>
  </si>
  <si>
    <t>佛法自然</t>
    <phoneticPr fontId="2" type="noConversion"/>
  </si>
  <si>
    <t>恩怨纠葛</t>
    <phoneticPr fontId="2" type="noConversion"/>
  </si>
  <si>
    <t>前世今生</t>
    <phoneticPr fontId="2" type="noConversion"/>
  </si>
  <si>
    <t>一脉相承</t>
    <phoneticPr fontId="2" type="noConversion"/>
  </si>
  <si>
    <t>小白龙</t>
    <phoneticPr fontId="2" type="noConversion"/>
  </si>
  <si>
    <t>鹿力大仙</t>
    <phoneticPr fontId="2" type="noConversion"/>
  </si>
  <si>
    <t>牛魔王</t>
    <phoneticPr fontId="2" type="noConversion"/>
  </si>
  <si>
    <t>哪吒</t>
    <phoneticPr fontId="2" type="noConversion"/>
  </si>
  <si>
    <t>普渡众生</t>
    <phoneticPr fontId="2" type="noConversion"/>
  </si>
  <si>
    <t>遇佛杀佛</t>
    <phoneticPr fontId="2" type="noConversion"/>
  </si>
  <si>
    <t>车池斗法</t>
    <phoneticPr fontId="2" type="noConversion"/>
  </si>
  <si>
    <t>见性成佛</t>
    <phoneticPr fontId="2" type="noConversion"/>
  </si>
  <si>
    <t>法不相容</t>
    <phoneticPr fontId="2" type="noConversion"/>
  </si>
  <si>
    <t>命途多舛</t>
    <phoneticPr fontId="2" type="noConversion"/>
  </si>
  <si>
    <t>前世之源</t>
    <phoneticPr fontId="2" type="noConversion"/>
  </si>
  <si>
    <t>后世之果</t>
    <phoneticPr fontId="2" type="noConversion"/>
  </si>
  <si>
    <t>佛法高深</t>
    <phoneticPr fontId="2" type="noConversion"/>
  </si>
  <si>
    <t>佛眼佛心</t>
    <phoneticPr fontId="2" type="noConversion"/>
  </si>
  <si>
    <t>魔主苍生</t>
    <phoneticPr fontId="2" type="noConversion"/>
  </si>
  <si>
    <t>五庄相助</t>
    <phoneticPr fontId="2" type="noConversion"/>
  </si>
  <si>
    <t>贪吃成性</t>
    <phoneticPr fontId="2" type="noConversion"/>
  </si>
  <si>
    <t>冰肌玉骨</t>
    <phoneticPr fontId="2" type="noConversion"/>
  </si>
  <si>
    <t>战天斗地</t>
    <phoneticPr fontId="2" type="noConversion"/>
  </si>
  <si>
    <t>如花似玉</t>
    <phoneticPr fontId="2" type="noConversion"/>
  </si>
  <si>
    <t>佛缘深厚</t>
    <phoneticPr fontId="2" type="noConversion"/>
  </si>
  <si>
    <t>师徒之源</t>
    <phoneticPr fontId="2" type="noConversion"/>
  </si>
  <si>
    <t>普陀相救</t>
    <phoneticPr fontId="2" type="noConversion"/>
  </si>
  <si>
    <t>佛光普照</t>
    <phoneticPr fontId="2" type="noConversion"/>
  </si>
  <si>
    <t>佛祖护法</t>
    <phoneticPr fontId="2" type="noConversion"/>
  </si>
  <si>
    <t>纶音佛语</t>
    <phoneticPr fontId="2" type="noConversion"/>
  </si>
  <si>
    <t>群妖乱舞</t>
    <phoneticPr fontId="2" type="noConversion"/>
  </si>
  <si>
    <t>心慈貌美</t>
    <phoneticPr fontId="2" type="noConversion"/>
  </si>
  <si>
    <t>东海之宴</t>
    <phoneticPr fontId="2" type="noConversion"/>
  </si>
  <si>
    <t>可爱至上</t>
    <phoneticPr fontId="2" type="noConversion"/>
  </si>
  <si>
    <t>紫金铃</t>
    <phoneticPr fontId="12" type="noConversion"/>
  </si>
  <si>
    <t>迷蝶铃</t>
    <phoneticPr fontId="12" type="noConversion"/>
  </si>
  <si>
    <t>秘友之邀</t>
    <phoneticPr fontId="2" type="noConversion"/>
  </si>
  <si>
    <t>勾魂索命</t>
    <phoneticPr fontId="2" type="noConversion"/>
  </si>
  <si>
    <t>铁面无私</t>
    <phoneticPr fontId="2" type="noConversion"/>
  </si>
  <si>
    <t>地府群仙</t>
    <phoneticPr fontId="2" type="noConversion"/>
  </si>
  <si>
    <t>雷霆万钧</t>
    <phoneticPr fontId="2" type="noConversion"/>
  </si>
  <si>
    <t>天庭雷劫</t>
    <phoneticPr fontId="2" type="noConversion"/>
  </si>
  <si>
    <t>兄弟同心</t>
    <phoneticPr fontId="2" type="noConversion"/>
  </si>
  <si>
    <t>鬼使巡差</t>
    <phoneticPr fontId="2" type="noConversion"/>
  </si>
  <si>
    <t>护卫地府</t>
    <phoneticPr fontId="2" type="noConversion"/>
  </si>
  <si>
    <t>忠心无二</t>
    <phoneticPr fontId="2" type="noConversion"/>
  </si>
  <si>
    <t>地府龙吟</t>
    <phoneticPr fontId="2" type="noConversion"/>
  </si>
  <si>
    <t>佛心普渡</t>
    <phoneticPr fontId="2" type="noConversion"/>
  </si>
  <si>
    <t>东海情缘</t>
    <phoneticPr fontId="2" type="noConversion"/>
  </si>
  <si>
    <t>普陀相逢</t>
    <phoneticPr fontId="2" type="noConversion"/>
  </si>
  <si>
    <t>佛眼相看</t>
    <phoneticPr fontId="2" type="noConversion"/>
  </si>
  <si>
    <t>仁心相助</t>
    <phoneticPr fontId="2" type="noConversion"/>
  </si>
  <si>
    <t>大战黑山</t>
    <phoneticPr fontId="2" type="noConversion"/>
  </si>
  <si>
    <t>妖娆魅惑</t>
    <phoneticPr fontId="2" type="noConversion"/>
  </si>
  <si>
    <t>仙妖斗法</t>
    <phoneticPr fontId="2" type="noConversion"/>
  </si>
  <si>
    <t>慈心向善</t>
    <phoneticPr fontId="2" type="noConversion"/>
  </si>
  <si>
    <t>观音点化</t>
    <phoneticPr fontId="2" type="noConversion"/>
  </si>
  <si>
    <t>紫金铃</t>
    <phoneticPr fontId="12" type="noConversion"/>
  </si>
  <si>
    <t>紫金铃</t>
    <phoneticPr fontId="2" type="noConversion"/>
  </si>
  <si>
    <t>阴阳镜</t>
    <phoneticPr fontId="12" type="noConversion"/>
  </si>
  <si>
    <t>阴阳镜</t>
    <phoneticPr fontId="2" type="noConversion"/>
  </si>
  <si>
    <t>幻光铃</t>
    <phoneticPr fontId="12" type="noConversion"/>
  </si>
  <si>
    <t>龙纹镜</t>
    <phoneticPr fontId="12" type="noConversion"/>
  </si>
  <si>
    <t>混元镜</t>
    <phoneticPr fontId="12" type="noConversion"/>
  </si>
  <si>
    <t>混元镜</t>
    <phoneticPr fontId="2" type="noConversion"/>
  </si>
  <si>
    <t>樱月铃</t>
    <phoneticPr fontId="12" type="noConversion"/>
  </si>
  <si>
    <t>八卦镜</t>
    <phoneticPr fontId="12" type="noConversion"/>
  </si>
  <si>
    <t>迷蝶铃</t>
    <phoneticPr fontId="12" type="noConversion"/>
  </si>
  <si>
    <t>迷蝶铃</t>
    <phoneticPr fontId="2" type="noConversion"/>
  </si>
  <si>
    <t>龙纹镜</t>
    <phoneticPr fontId="2" type="noConversion"/>
  </si>
  <si>
    <t>迷蝶之音</t>
    <phoneticPr fontId="2" type="noConversion"/>
  </si>
  <si>
    <t>龙纹之威</t>
    <phoneticPr fontId="2" type="noConversion"/>
  </si>
  <si>
    <t>八卦镜</t>
    <phoneticPr fontId="2" type="noConversion"/>
  </si>
  <si>
    <t>幻光铃</t>
    <phoneticPr fontId="2" type="noConversion"/>
  </si>
  <si>
    <t>幻光之灵</t>
    <phoneticPr fontId="2" type="noConversion"/>
  </si>
  <si>
    <t>阴阳之法</t>
    <phoneticPr fontId="2" type="noConversion"/>
  </si>
  <si>
    <t>樱月铃</t>
    <phoneticPr fontId="2" type="noConversion"/>
  </si>
  <si>
    <t>混元之悟</t>
    <phoneticPr fontId="2" type="noConversion"/>
  </si>
  <si>
    <t>紫金之令</t>
    <phoneticPr fontId="2" type="noConversion"/>
  </si>
  <si>
    <t>樱月之梦</t>
    <phoneticPr fontId="2" type="noConversion"/>
  </si>
  <si>
    <t>如花似玉</t>
  </si>
  <si>
    <t>妖法无边</t>
    <phoneticPr fontId="2" type="noConversion"/>
  </si>
  <si>
    <t>狂战四方</t>
    <phoneticPr fontId="2" type="noConversion"/>
  </si>
  <si>
    <t>绝色天仙</t>
    <phoneticPr fontId="2" type="noConversion"/>
  </si>
  <si>
    <t>灭世妖佛</t>
  </si>
  <si>
    <t>佛法无边</t>
  </si>
  <si>
    <t>妖神护佑</t>
  </si>
  <si>
    <t>妖佛对质</t>
  </si>
  <si>
    <t>斗战不休</t>
  </si>
  <si>
    <t>冰清玉洁</t>
  </si>
  <si>
    <t>笑里藏刀</t>
  </si>
  <si>
    <t>一脉相承</t>
  </si>
  <si>
    <t>佛法自然</t>
  </si>
  <si>
    <t>恩怨纠葛</t>
  </si>
  <si>
    <t>普渡众生</t>
  </si>
  <si>
    <t>遇佛杀佛</t>
  </si>
  <si>
    <t>见性成佛</t>
  </si>
  <si>
    <t>魔主苍生</t>
  </si>
  <si>
    <t>前世今生</t>
  </si>
  <si>
    <t>法不相容</t>
  </si>
  <si>
    <t>佛眼佛心</t>
  </si>
  <si>
    <t>命途多舛</t>
  </si>
  <si>
    <t>前世之源</t>
  </si>
  <si>
    <t>五庄相助</t>
  </si>
  <si>
    <t>贪吃成性</t>
  </si>
  <si>
    <t>冰肌玉骨</t>
  </si>
  <si>
    <t>佛法高深</t>
  </si>
  <si>
    <t>师徒之源</t>
  </si>
  <si>
    <t>普陀相救</t>
  </si>
  <si>
    <t>佛光普照</t>
  </si>
  <si>
    <t>佛祖护法</t>
  </si>
  <si>
    <t>纶音佛语</t>
  </si>
  <si>
    <t>战天斗地</t>
  </si>
  <si>
    <t>佛缘深厚</t>
  </si>
  <si>
    <t>后世之果</t>
  </si>
  <si>
    <t>佛心普渡</t>
  </si>
  <si>
    <t>东海情缘</t>
  </si>
  <si>
    <t>普陀相逢</t>
  </si>
  <si>
    <t>佛眼相看</t>
  </si>
  <si>
    <t>妖娆魅惑</t>
  </si>
  <si>
    <t>心慈貌美</t>
  </si>
  <si>
    <t>大战黑山</t>
  </si>
  <si>
    <t>仁心相助</t>
  </si>
  <si>
    <t>仙妖斗法</t>
  </si>
  <si>
    <t>慈心向善</t>
  </si>
  <si>
    <t>观音点化</t>
  </si>
  <si>
    <t>左法宝1</t>
    <phoneticPr fontId="2" type="noConversion"/>
  </si>
  <si>
    <t>右法宝1</t>
    <phoneticPr fontId="2" type="noConversion"/>
  </si>
  <si>
    <t>左法宝2</t>
    <phoneticPr fontId="2" type="noConversion"/>
  </si>
  <si>
    <t>右法宝2</t>
    <phoneticPr fontId="2" type="noConversion"/>
  </si>
  <si>
    <t>八卦之境</t>
    <phoneticPr fontId="2" type="noConversion"/>
  </si>
  <si>
    <t>[]</t>
  </si>
  <si>
    <t>[]</t>
    <phoneticPr fontId="2" type="noConversion"/>
  </si>
  <si>
    <t>孙悟空</t>
    <phoneticPr fontId="2" type="noConversion"/>
  </si>
  <si>
    <t>二郎神</t>
    <phoneticPr fontId="2" type="noConversion"/>
  </si>
  <si>
    <t>斗战胜佛</t>
    <phoneticPr fontId="4" type="noConversion"/>
  </si>
  <si>
    <t>战士</t>
    <phoneticPr fontId="4" type="noConversion"/>
  </si>
  <si>
    <t>沙和尚</t>
    <phoneticPr fontId="2" type="noConversion"/>
  </si>
  <si>
    <t>王母娘娘</t>
    <phoneticPr fontId="2" type="noConversion"/>
  </si>
  <si>
    <t>紫霞仙子</t>
    <phoneticPr fontId="2" type="noConversion"/>
  </si>
  <si>
    <t>法师</t>
    <phoneticPr fontId="2" type="noConversion"/>
  </si>
  <si>
    <t>牛魔王</t>
    <phoneticPr fontId="2" type="noConversion"/>
  </si>
  <si>
    <t>战士</t>
    <phoneticPr fontId="2" type="noConversion"/>
  </si>
  <si>
    <t>铁扇公主</t>
    <phoneticPr fontId="2" type="noConversion"/>
  </si>
  <si>
    <t>白无常</t>
    <phoneticPr fontId="2" type="noConversion"/>
  </si>
  <si>
    <t>虎力大仙</t>
    <phoneticPr fontId="2" type="noConversion"/>
  </si>
  <si>
    <t>黑无常</t>
    <phoneticPr fontId="2" type="noConversion"/>
  </si>
  <si>
    <t>弥勒佛</t>
    <phoneticPr fontId="4" type="noConversion"/>
  </si>
  <si>
    <t>坦克</t>
    <phoneticPr fontId="4" type="noConversion"/>
  </si>
  <si>
    <t>猪八戒</t>
    <phoneticPr fontId="2" type="noConversion"/>
  </si>
  <si>
    <t>托塔天王</t>
    <phoneticPr fontId="2" type="noConversion"/>
  </si>
  <si>
    <t>坦克</t>
    <phoneticPr fontId="2" type="noConversion"/>
  </si>
  <si>
    <t>辅助</t>
    <phoneticPr fontId="2" type="noConversion"/>
  </si>
  <si>
    <t>白骨夫人</t>
    <phoneticPr fontId="2" type="noConversion"/>
  </si>
  <si>
    <t>九天玄女</t>
    <phoneticPr fontId="4" type="noConversion"/>
  </si>
  <si>
    <t>文殊菩萨</t>
    <phoneticPr fontId="4" type="noConversion"/>
  </si>
  <si>
    <t>辅助</t>
    <phoneticPr fontId="4" type="noConversion"/>
  </si>
  <si>
    <t>六耳猕猴</t>
    <phoneticPr fontId="2" type="noConversion"/>
  </si>
  <si>
    <t>鹿力大仙</t>
    <phoneticPr fontId="2" type="noConversion"/>
  </si>
  <si>
    <t>玉皇大帝</t>
    <phoneticPr fontId="4" type="noConversion"/>
  </si>
  <si>
    <t>混世魔王</t>
    <phoneticPr fontId="2" type="noConversion"/>
  </si>
  <si>
    <t>迦叶</t>
    <phoneticPr fontId="2" type="noConversion"/>
  </si>
  <si>
    <t>彩蝶仙童</t>
    <phoneticPr fontId="2" type="noConversion"/>
  </si>
  <si>
    <t>女儿国国王</t>
    <phoneticPr fontId="2" type="noConversion"/>
  </si>
  <si>
    <t>阎罗王</t>
    <phoneticPr fontId="4" type="noConversion"/>
  </si>
  <si>
    <t>引魂仙子</t>
    <phoneticPr fontId="2" type="noConversion"/>
  </si>
  <si>
    <t>蜘蛛精</t>
    <phoneticPr fontId="4" type="noConversion"/>
  </si>
  <si>
    <t>小白龙</t>
    <phoneticPr fontId="2" type="noConversion"/>
  </si>
  <si>
    <t>金钱豹王</t>
    <phoneticPr fontId="2" type="noConversion"/>
  </si>
  <si>
    <t>墨鱼精</t>
    <phoneticPr fontId="2" type="noConversion"/>
  </si>
  <si>
    <t>玉面夫人</t>
    <phoneticPr fontId="2" type="noConversion"/>
  </si>
  <si>
    <t>鬼使黑</t>
    <phoneticPr fontId="4" type="noConversion"/>
  </si>
  <si>
    <t>扇子精</t>
    <phoneticPr fontId="2" type="noConversion"/>
  </si>
  <si>
    <t>鬼使白</t>
    <phoneticPr fontId="4" type="noConversion"/>
  </si>
  <si>
    <t>赛太岁</t>
    <phoneticPr fontId="2" type="noConversion"/>
  </si>
  <si>
    <t>玉兔</t>
    <phoneticPr fontId="2" type="noConversion"/>
  </si>
  <si>
    <t>牛头</t>
    <phoneticPr fontId="4" type="noConversion"/>
  </si>
  <si>
    <t>琴仙</t>
    <phoneticPr fontId="2" type="noConversion"/>
  </si>
  <si>
    <t>蟹将</t>
    <phoneticPr fontId="2" type="noConversion"/>
  </si>
  <si>
    <t>马面</t>
    <phoneticPr fontId="4" type="noConversion"/>
  </si>
  <si>
    <t>黑熊精</t>
    <phoneticPr fontId="2" type="noConversion"/>
  </si>
  <si>
    <t>孙悟空</t>
    <phoneticPr fontId="2" type="noConversion"/>
  </si>
  <si>
    <t>彩蝶仙童</t>
    <phoneticPr fontId="2" type="noConversion"/>
  </si>
  <si>
    <t>蝎子精</t>
    <phoneticPr fontId="2" type="noConversion"/>
  </si>
  <si>
    <t>蜘蛛精</t>
    <phoneticPr fontId="4" type="noConversion"/>
  </si>
  <si>
    <t>彩蝶仙童</t>
    <phoneticPr fontId="2" type="noConversion"/>
  </si>
  <si>
    <t>孙悟空</t>
    <phoneticPr fontId="2" type="noConversion"/>
  </si>
  <si>
    <t>虎力大仙</t>
    <phoneticPr fontId="2" type="noConversion"/>
  </si>
  <si>
    <t>铁扇公主</t>
    <phoneticPr fontId="2" type="noConversion"/>
  </si>
  <si>
    <t>猪八戒</t>
    <phoneticPr fontId="2" type="noConversion"/>
  </si>
  <si>
    <t>孙悟空</t>
    <phoneticPr fontId="2" type="noConversion"/>
  </si>
  <si>
    <t>六耳猕猴</t>
    <phoneticPr fontId="2" type="noConversion"/>
  </si>
  <si>
    <t>混世魔王</t>
    <phoneticPr fontId="2" type="noConversion"/>
  </si>
  <si>
    <t>彩蝶仙童</t>
    <phoneticPr fontId="2" type="noConversion"/>
  </si>
  <si>
    <t>鹿力大仙</t>
    <phoneticPr fontId="2" type="noConversion"/>
  </si>
  <si>
    <t>蝎子精</t>
    <phoneticPr fontId="2" type="noConversion"/>
  </si>
  <si>
    <t>蜘蛛精</t>
    <phoneticPr fontId="2" type="noConversion"/>
  </si>
  <si>
    <t>降魔伏妖</t>
  </si>
  <si>
    <t>降魔伏妖</t>
    <phoneticPr fontId="2" type="noConversion"/>
  </si>
  <si>
    <t>妖界之王</t>
  </si>
  <si>
    <t>妖界之王</t>
    <phoneticPr fontId="2" type="noConversion"/>
  </si>
  <si>
    <t>西行之路</t>
  </si>
  <si>
    <t>西行之路</t>
    <phoneticPr fontId="2" type="noConversion"/>
  </si>
  <si>
    <t>称王称霸</t>
  </si>
  <si>
    <t>称王称霸</t>
    <phoneticPr fontId="2" type="noConversion"/>
  </si>
  <si>
    <t>爱恨纠缠</t>
  </si>
  <si>
    <t>爱恨纠缠</t>
    <phoneticPr fontId="2" type="noConversion"/>
  </si>
  <si>
    <t>千年修行</t>
  </si>
  <si>
    <t>环肥燕瘦</t>
  </si>
  <si>
    <t>环肥燕瘦</t>
    <phoneticPr fontId="2" type="noConversion"/>
  </si>
  <si>
    <t>千年修行</t>
    <phoneticPr fontId="2" type="noConversion"/>
  </si>
  <si>
    <t>铁汉柔情</t>
  </si>
  <si>
    <t>铁汉柔情</t>
    <phoneticPr fontId="2" type="noConversion"/>
  </si>
  <si>
    <t>如花似玉</t>
    <phoneticPr fontId="2" type="noConversion"/>
  </si>
  <si>
    <t>邪不压正</t>
  </si>
  <si>
    <t>邪不压正</t>
    <phoneticPr fontId="2" type="noConversion"/>
  </si>
  <si>
    <t>红粉佳人</t>
  </si>
  <si>
    <t>红粉佳人</t>
    <phoneticPr fontId="2" type="noConversion"/>
  </si>
  <si>
    <t>恩将仇报</t>
  </si>
  <si>
    <t>恩将仇报</t>
    <phoneticPr fontId="2" type="noConversion"/>
  </si>
  <si>
    <t>秀色可餐</t>
  </si>
  <si>
    <t>秀色可餐</t>
    <phoneticPr fontId="2" type="noConversion"/>
  </si>
  <si>
    <t>妖2人羁绊5</t>
    <phoneticPr fontId="2" type="noConversion"/>
  </si>
  <si>
    <t>乖巧可爱</t>
  </si>
  <si>
    <t>乖巧可爱</t>
    <phoneticPr fontId="2" type="noConversion"/>
  </si>
  <si>
    <t>绝代妖娆</t>
  </si>
  <si>
    <t>绝代妖娆</t>
    <phoneticPr fontId="2" type="noConversion"/>
  </si>
  <si>
    <t>绝色罗刹</t>
  </si>
  <si>
    <t>绝色罗刹</t>
    <phoneticPr fontId="2" type="noConversion"/>
  </si>
  <si>
    <t>玉面夫人</t>
    <phoneticPr fontId="2" type="noConversion"/>
  </si>
  <si>
    <t>蜘蛛精</t>
    <phoneticPr fontId="2" type="noConversion"/>
  </si>
  <si>
    <t>佛2人羁绊23</t>
  </si>
  <si>
    <t>仙2人羁绊23</t>
  </si>
  <si>
    <t>仙3人羁绊10</t>
    <phoneticPr fontId="2" type="noConversion"/>
  </si>
  <si>
    <t>绝色妖王</t>
    <phoneticPr fontId="2" type="noConversion"/>
  </si>
  <si>
    <t>天宫倩影</t>
    <phoneticPr fontId="2" type="noConversion"/>
  </si>
  <si>
    <t>佛光万丈</t>
    <phoneticPr fontId="2" type="noConversion"/>
  </si>
  <si>
    <t>生命，攻击+30%</t>
  </si>
  <si>
    <t>生命，防御+24%</t>
  </si>
  <si>
    <t>攻击，防御+20%</t>
  </si>
  <si>
    <t>攻击+20%</t>
  </si>
  <si>
    <t>生命+20%</t>
  </si>
  <si>
    <t>防御+20%</t>
  </si>
  <si>
    <t>生命，攻击+24%</t>
  </si>
  <si>
    <t>生命，防御+20%</t>
  </si>
  <si>
    <t>攻击，防御+20%</t>
    <phoneticPr fontId="2" type="noConversion"/>
  </si>
  <si>
    <t>攻击+16%</t>
  </si>
  <si>
    <t>生命+16%</t>
  </si>
  <si>
    <t>防御+16%</t>
  </si>
  <si>
    <t>生命</t>
    <phoneticPr fontId="2" type="noConversion"/>
  </si>
  <si>
    <t>防御</t>
    <phoneticPr fontId="2" type="noConversion"/>
  </si>
  <si>
    <t>攻击</t>
    <phoneticPr fontId="2" type="noConversion"/>
  </si>
  <si>
    <t>生命，攻击+20%</t>
  </si>
  <si>
    <t>生命</t>
    <phoneticPr fontId="2" type="noConversion"/>
  </si>
  <si>
    <t>攻击</t>
    <phoneticPr fontId="2" type="noConversion"/>
  </si>
  <si>
    <t>防御</t>
    <phoneticPr fontId="2" type="noConversion"/>
  </si>
  <si>
    <t>综合</t>
    <phoneticPr fontId="2" type="noConversion"/>
  </si>
  <si>
    <t>金钱豹王</t>
    <phoneticPr fontId="2" type="noConversion"/>
  </si>
  <si>
    <t>墨鱼精</t>
    <phoneticPr fontId="2" type="noConversion"/>
  </si>
  <si>
    <t>玉面夫人</t>
    <phoneticPr fontId="2" type="noConversion"/>
  </si>
  <si>
    <t>扇子精</t>
    <phoneticPr fontId="2" type="noConversion"/>
  </si>
  <si>
    <t>玉兔</t>
    <phoneticPr fontId="2" type="noConversion"/>
  </si>
  <si>
    <t>蟹将</t>
    <phoneticPr fontId="2" type="noConversion"/>
  </si>
  <si>
    <t>沙和尚</t>
    <phoneticPr fontId="2" type="noConversion"/>
  </si>
  <si>
    <t>防御+20%</t>
    <phoneticPr fontId="2" type="noConversion"/>
  </si>
  <si>
    <t>防御+20%</t>
    <phoneticPr fontId="2" type="noConversion"/>
  </si>
  <si>
    <t>攻击+20%</t>
    <phoneticPr fontId="2" type="noConversion"/>
  </si>
  <si>
    <t>生命，防御+20%</t>
    <phoneticPr fontId="2" type="noConversion"/>
  </si>
  <si>
    <t>混世魔王</t>
    <phoneticPr fontId="2" type="noConversion"/>
  </si>
  <si>
    <t>生命，攻击+24%</t>
    <phoneticPr fontId="2" type="noConversion"/>
  </si>
  <si>
    <t xml:space="preserve"> </t>
    <phoneticPr fontId="2" type="noConversion"/>
  </si>
  <si>
    <t>生命，攻击+30%</t>
    <phoneticPr fontId="2" type="noConversion"/>
  </si>
  <si>
    <t>防御+16%</t>
    <phoneticPr fontId="2" type="noConversion"/>
  </si>
  <si>
    <t>攻击+16%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</si>
</sst>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>
    <font>
      <sz val="11"/>
      <color theme="1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b/>
      <sz val="10"/>
      <color theme="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0"/>
      <name val="宋体"/>
      <family val="3"/>
      <charset val="134"/>
      <scheme val="minor"/>
    </font>
    <font>
      <sz val="10"/>
      <color rgb="FF0070C0"/>
      <name val="宋体"/>
      <family val="3"/>
      <charset val="134"/>
      <scheme val="minor"/>
    </font>
    <font>
      <b/>
      <sz val="10"/>
      <color rgb="FFFF000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theme="9" tint="-0.249977111117893"/>
      <name val="微软雅黑"/>
      <family val="2"/>
      <charset val="134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9" tint="-0.249977111117893"/>
      <name val="宋体"/>
      <family val="3"/>
      <charset val="134"/>
      <scheme val="minor"/>
    </font>
    <font>
      <sz val="10"/>
      <color theme="0" tint="-0.249977111117893"/>
      <name val="微软雅黑"/>
      <family val="2"/>
      <charset val="134"/>
    </font>
    <font>
      <sz val="10"/>
      <color theme="0" tint="-0.14999847407452621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color indexed="9"/>
      <name val="宋体"/>
      <family val="3"/>
      <charset val="134"/>
      <scheme val="minor"/>
    </font>
    <font>
      <b/>
      <sz val="10"/>
      <color rgb="FFFF0000"/>
      <name val="宋体"/>
      <family val="3"/>
      <charset val="134"/>
      <scheme val="minor"/>
    </font>
    <font>
      <sz val="10"/>
      <color theme="9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6666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9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0" fillId="0" borderId="0"/>
    <xf numFmtId="0" fontId="19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4" fillId="0" borderId="0">
      <alignment vertical="center"/>
    </xf>
    <xf numFmtId="0" fontId="19" fillId="0" borderId="0">
      <alignment vertical="center"/>
    </xf>
    <xf numFmtId="0" fontId="20" fillId="0" borderId="0"/>
    <xf numFmtId="0" fontId="28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8" fillId="0" borderId="0">
      <alignment vertical="center"/>
    </xf>
    <xf numFmtId="0" fontId="19" fillId="0" borderId="0">
      <alignment vertical="center"/>
    </xf>
  </cellStyleXfs>
  <cellXfs count="144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3" borderId="0" xfId="0" applyFont="1" applyFill="1" applyAlignment="1">
      <alignment horizontal="center" vertical="center"/>
    </xf>
    <xf numFmtId="0" fontId="10" fillId="8" borderId="2" xfId="3" applyFont="1" applyFill="1" applyBorder="1" applyAlignment="1">
      <alignment horizontal="center" vertical="center"/>
    </xf>
    <xf numFmtId="0" fontId="9" fillId="5" borderId="2" xfId="2" applyFont="1" applyBorder="1" applyAlignment="1">
      <alignment horizontal="center" vertical="center"/>
    </xf>
    <xf numFmtId="0" fontId="9" fillId="7" borderId="2" xfId="4" applyFont="1" applyBorder="1" applyAlignment="1">
      <alignment horizontal="center" vertical="center"/>
    </xf>
    <xf numFmtId="0" fontId="10" fillId="11" borderId="2" xfId="2" applyFont="1" applyFill="1" applyBorder="1" applyAlignment="1">
      <alignment horizontal="center" vertical="center"/>
    </xf>
    <xf numFmtId="0" fontId="10" fillId="9" borderId="2" xfId="2" applyFont="1" applyFill="1" applyBorder="1" applyAlignment="1">
      <alignment horizontal="center" vertical="center"/>
    </xf>
    <xf numFmtId="0" fontId="10" fillId="11" borderId="2" xfId="4" applyFont="1" applyFill="1" applyBorder="1" applyAlignment="1">
      <alignment horizontal="center" vertical="center"/>
    </xf>
    <xf numFmtId="0" fontId="10" fillId="9" borderId="2" xfId="4" applyFont="1" applyFill="1" applyBorder="1" applyAlignment="1">
      <alignment horizontal="center" vertical="center"/>
    </xf>
    <xf numFmtId="0" fontId="10" fillId="9" borderId="2" xfId="3" applyFont="1" applyFill="1" applyBorder="1" applyAlignment="1">
      <alignment horizontal="center" vertical="center"/>
    </xf>
    <xf numFmtId="0" fontId="10" fillId="11" borderId="2" xfId="3" applyFont="1" applyFill="1" applyBorder="1" applyAlignment="1">
      <alignment horizontal="center" vertical="center"/>
    </xf>
    <xf numFmtId="0" fontId="11" fillId="0" borderId="2" xfId="0" applyNumberFormat="1" applyFont="1" applyBorder="1" applyAlignment="1">
      <alignment horizontal="center" vertical="center"/>
    </xf>
    <xf numFmtId="0" fontId="11" fillId="13" borderId="2" xfId="0" applyNumberFormat="1" applyFont="1" applyFill="1" applyBorder="1" applyAlignment="1">
      <alignment horizontal="center" vertical="center"/>
    </xf>
    <xf numFmtId="0" fontId="11" fillId="4" borderId="2" xfId="0" applyNumberFormat="1" applyFont="1" applyFill="1" applyBorder="1" applyAlignment="1">
      <alignment horizontal="center" vertical="center"/>
    </xf>
    <xf numFmtId="0" fontId="11" fillId="14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10" fillId="18" borderId="2" xfId="2" applyFont="1" applyFill="1" applyBorder="1" applyAlignment="1">
      <alignment horizontal="center" vertical="center"/>
    </xf>
    <xf numFmtId="0" fontId="10" fillId="18" borderId="2" xfId="4" applyFont="1" applyFill="1" applyBorder="1" applyAlignment="1">
      <alignment horizontal="center" vertical="center"/>
    </xf>
    <xf numFmtId="0" fontId="10" fillId="18" borderId="2" xfId="3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5" fillId="0" borderId="1" xfId="1" applyFont="1" applyFill="1">
      <alignment vertical="center"/>
    </xf>
    <xf numFmtId="0" fontId="16" fillId="0" borderId="0" xfId="0" applyFont="1" applyFill="1">
      <alignment vertical="center"/>
    </xf>
    <xf numFmtId="0" fontId="15" fillId="0" borderId="3" xfId="1" applyFont="1" applyFill="1" applyBorder="1">
      <alignment vertical="center"/>
    </xf>
    <xf numFmtId="0" fontId="17" fillId="19" borderId="0" xfId="0" applyFont="1" applyFill="1" applyAlignment="1">
      <alignment horizontal="center" vertical="center"/>
    </xf>
    <xf numFmtId="0" fontId="18" fillId="19" borderId="0" xfId="1" applyFont="1" applyFill="1" applyBorder="1" applyAlignment="1">
      <alignment horizontal="center" vertical="center"/>
    </xf>
    <xf numFmtId="0" fontId="10" fillId="8" borderId="2" xfId="2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9" fillId="20" borderId="2" xfId="4" applyFont="1" applyFill="1" applyBorder="1" applyAlignment="1">
      <alignment horizontal="center" vertical="center"/>
    </xf>
    <xf numFmtId="0" fontId="9" fillId="21" borderId="2" xfId="2" applyFont="1" applyFill="1" applyBorder="1" applyAlignment="1">
      <alignment horizontal="center" vertical="center"/>
    </xf>
    <xf numFmtId="0" fontId="10" fillId="0" borderId="0" xfId="2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7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5" fillId="0" borderId="0" xfId="1" applyFont="1" applyFill="1" applyBorder="1">
      <alignment vertical="center"/>
    </xf>
    <xf numFmtId="0" fontId="20" fillId="0" borderId="0" xfId="5"/>
    <xf numFmtId="0" fontId="19" fillId="0" borderId="0" xfId="6">
      <alignment vertical="center"/>
    </xf>
    <xf numFmtId="0" fontId="10" fillId="11" borderId="2" xfId="2" applyFont="1" applyFill="1" applyBorder="1" applyAlignment="1">
      <alignment horizontal="center" vertical="center"/>
    </xf>
    <xf numFmtId="0" fontId="10" fillId="9" borderId="2" xfId="2" applyFont="1" applyFill="1" applyBorder="1" applyAlignment="1">
      <alignment horizontal="center" vertical="center"/>
    </xf>
    <xf numFmtId="0" fontId="10" fillId="9" borderId="2" xfId="4" applyFont="1" applyFill="1" applyBorder="1" applyAlignment="1">
      <alignment horizontal="center" vertical="center"/>
    </xf>
    <xf numFmtId="0" fontId="10" fillId="18" borderId="2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21" fillId="0" borderId="0" xfId="1" applyFont="1" applyFill="1" applyBorder="1">
      <alignment vertical="center"/>
    </xf>
    <xf numFmtId="0" fontId="22" fillId="0" borderId="2" xfId="1" applyFont="1" applyFill="1" applyBorder="1" applyAlignment="1">
      <alignment horizontal="center" vertical="center"/>
    </xf>
    <xf numFmtId="0" fontId="10" fillId="11" borderId="2" xfId="2" applyFont="1" applyFill="1" applyBorder="1" applyAlignment="1">
      <alignment horizontal="center" vertical="center"/>
    </xf>
    <xf numFmtId="0" fontId="10" fillId="18" borderId="2" xfId="2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vertical="center"/>
    </xf>
    <xf numFmtId="0" fontId="13" fillId="17" borderId="2" xfId="0" applyFont="1" applyFill="1" applyBorder="1" applyAlignment="1">
      <alignment vertical="center"/>
    </xf>
    <xf numFmtId="0" fontId="14" fillId="17" borderId="2" xfId="0" applyFont="1" applyFill="1" applyBorder="1" applyAlignment="1">
      <alignment vertical="center"/>
    </xf>
    <xf numFmtId="0" fontId="14" fillId="8" borderId="2" xfId="0" applyFont="1" applyFill="1" applyBorder="1" applyAlignment="1">
      <alignment vertical="center"/>
    </xf>
    <xf numFmtId="0" fontId="13" fillId="8" borderId="2" xfId="0" applyFont="1" applyFill="1" applyBorder="1" applyAlignment="1">
      <alignment vertical="center"/>
    </xf>
    <xf numFmtId="0" fontId="23" fillId="8" borderId="2" xfId="0" applyFont="1" applyFill="1" applyBorder="1" applyAlignment="1">
      <alignment vertical="center"/>
    </xf>
    <xf numFmtId="0" fontId="24" fillId="9" borderId="2" xfId="0" applyFont="1" applyFill="1" applyBorder="1" applyAlignment="1">
      <alignment vertical="center"/>
    </xf>
    <xf numFmtId="0" fontId="13" fillId="15" borderId="2" xfId="0" applyFont="1" applyFill="1" applyBorder="1" applyAlignment="1">
      <alignment vertical="center"/>
    </xf>
    <xf numFmtId="0" fontId="13" fillId="9" borderId="2" xfId="0" applyFont="1" applyFill="1" applyBorder="1" applyAlignment="1">
      <alignment vertical="center"/>
    </xf>
    <xf numFmtId="0" fontId="25" fillId="9" borderId="2" xfId="0" applyFont="1" applyFill="1" applyBorder="1" applyAlignment="1">
      <alignment vertical="center"/>
    </xf>
    <xf numFmtId="0" fontId="25" fillId="9" borderId="4" xfId="0" applyFont="1" applyFill="1" applyBorder="1" applyAlignment="1">
      <alignment vertical="center"/>
    </xf>
    <xf numFmtId="0" fontId="26" fillId="19" borderId="0" xfId="0" applyFont="1" applyFill="1">
      <alignment vertical="center"/>
    </xf>
    <xf numFmtId="0" fontId="27" fillId="0" borderId="0" xfId="0" applyFont="1">
      <alignment vertical="center"/>
    </xf>
    <xf numFmtId="0" fontId="14" fillId="22" borderId="2" xfId="0" applyFont="1" applyFill="1" applyBorder="1" applyAlignment="1">
      <alignment vertical="center"/>
    </xf>
    <xf numFmtId="0" fontId="13" fillId="22" borderId="2" xfId="0" applyFont="1" applyFill="1" applyBorder="1" applyAlignment="1">
      <alignment vertical="center"/>
    </xf>
    <xf numFmtId="0" fontId="13" fillId="12" borderId="2" xfId="0" applyFont="1" applyFill="1" applyBorder="1" applyAlignment="1">
      <alignment vertical="center"/>
    </xf>
    <xf numFmtId="0" fontId="26" fillId="23" borderId="0" xfId="0" applyFont="1" applyFill="1">
      <alignment vertical="center"/>
    </xf>
    <xf numFmtId="0" fontId="10" fillId="0" borderId="5" xfId="2" applyFont="1" applyFill="1" applyBorder="1" applyAlignment="1">
      <alignment horizontal="center" vertical="center"/>
    </xf>
    <xf numFmtId="0" fontId="27" fillId="13" borderId="2" xfId="5" applyNumberFormat="1" applyFont="1" applyFill="1" applyBorder="1" applyAlignment="1">
      <alignment horizontal="center"/>
    </xf>
    <xf numFmtId="0" fontId="27" fillId="13" borderId="2" xfId="5" applyNumberFormat="1" applyFont="1" applyFill="1" applyBorder="1" applyAlignment="1">
      <alignment horizontal="center" vertical="center"/>
    </xf>
    <xf numFmtId="0" fontId="29" fillId="0" borderId="2" xfId="8" applyFont="1" applyFill="1" applyBorder="1" applyAlignment="1">
      <alignment vertical="center"/>
    </xf>
    <xf numFmtId="0" fontId="29" fillId="17" borderId="2" xfId="8" applyFont="1" applyFill="1" applyBorder="1" applyAlignment="1">
      <alignment vertical="center"/>
    </xf>
    <xf numFmtId="0" fontId="29" fillId="8" borderId="2" xfId="8" applyFont="1" applyFill="1" applyBorder="1" applyAlignment="1">
      <alignment vertical="center"/>
    </xf>
    <xf numFmtId="0" fontId="30" fillId="8" borderId="2" xfId="8" applyFont="1" applyFill="1" applyBorder="1" applyAlignment="1">
      <alignment vertical="center"/>
    </xf>
    <xf numFmtId="0" fontId="26" fillId="9" borderId="2" xfId="8" applyFont="1" applyFill="1" applyBorder="1" applyAlignment="1">
      <alignment vertical="center"/>
    </xf>
    <xf numFmtId="0" fontId="29" fillId="15" borderId="2" xfId="8" applyFont="1" applyFill="1" applyBorder="1" applyAlignment="1">
      <alignment vertical="center"/>
    </xf>
    <xf numFmtId="0" fontId="29" fillId="9" borderId="2" xfId="8" applyFont="1" applyFill="1" applyBorder="1" applyAlignment="1">
      <alignment vertical="center"/>
    </xf>
    <xf numFmtId="0" fontId="31" fillId="9" borderId="2" xfId="8" applyFont="1" applyFill="1" applyBorder="1" applyAlignment="1">
      <alignment vertical="center"/>
    </xf>
    <xf numFmtId="0" fontId="31" fillId="9" borderId="4" xfId="8" applyFont="1" applyFill="1" applyBorder="1" applyAlignment="1">
      <alignment vertical="center"/>
    </xf>
    <xf numFmtId="0" fontId="15" fillId="0" borderId="6" xfId="1" applyFont="1" applyFill="1" applyBorder="1">
      <alignment vertical="center"/>
    </xf>
    <xf numFmtId="0" fontId="11" fillId="0" borderId="2" xfId="0" applyNumberFormat="1" applyFont="1" applyBorder="1" applyAlignment="1"/>
    <xf numFmtId="0" fontId="13" fillId="0" borderId="2" xfId="0" applyNumberFormat="1" applyFont="1" applyBorder="1" applyAlignment="1"/>
    <xf numFmtId="0" fontId="32" fillId="0" borderId="2" xfId="0" applyNumberFormat="1" applyFont="1" applyBorder="1" applyAlignment="1"/>
    <xf numFmtId="0" fontId="33" fillId="0" borderId="2" xfId="0" applyNumberFormat="1" applyFont="1" applyBorder="1" applyAlignment="1"/>
    <xf numFmtId="0" fontId="13" fillId="10" borderId="2" xfId="0" applyNumberFormat="1" applyFont="1" applyFill="1" applyBorder="1" applyAlignment="1"/>
    <xf numFmtId="0" fontId="11" fillId="10" borderId="2" xfId="0" applyNumberFormat="1" applyFont="1" applyFill="1" applyBorder="1" applyAlignment="1"/>
    <xf numFmtId="0" fontId="33" fillId="10" borderId="2" xfId="0" applyNumberFormat="1" applyFont="1" applyFill="1" applyBorder="1" applyAlignment="1"/>
    <xf numFmtId="0" fontId="35" fillId="3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0" fillId="0" borderId="2" xfId="11" applyFont="1" applyFill="1" applyBorder="1" applyAlignment="1">
      <alignment vertical="center"/>
    </xf>
    <xf numFmtId="0" fontId="7" fillId="0" borderId="0" xfId="0" applyFont="1">
      <alignment vertical="center"/>
    </xf>
    <xf numFmtId="0" fontId="10" fillId="17" borderId="2" xfId="11" applyFont="1" applyFill="1" applyBorder="1" applyAlignment="1">
      <alignment vertical="center"/>
    </xf>
    <xf numFmtId="0" fontId="10" fillId="8" borderId="2" xfId="11" applyFont="1" applyFill="1" applyBorder="1" applyAlignment="1">
      <alignment vertical="center"/>
    </xf>
    <xf numFmtId="0" fontId="7" fillId="0" borderId="2" xfId="0" applyNumberFormat="1" applyFont="1" applyFill="1" applyBorder="1" applyAlignment="1">
      <alignment horizontal="center"/>
    </xf>
    <xf numFmtId="0" fontId="36" fillId="8" borderId="2" xfId="11" applyFont="1" applyFill="1" applyBorder="1" applyAlignment="1">
      <alignment vertical="center"/>
    </xf>
    <xf numFmtId="0" fontId="9" fillId="9" borderId="2" xfId="11" applyFont="1" applyFill="1" applyBorder="1" applyAlignment="1">
      <alignment vertical="center"/>
    </xf>
    <xf numFmtId="0" fontId="10" fillId="15" borderId="2" xfId="11" applyFont="1" applyFill="1" applyBorder="1" applyAlignment="1">
      <alignment vertical="center"/>
    </xf>
    <xf numFmtId="0" fontId="10" fillId="9" borderId="2" xfId="11" applyFont="1" applyFill="1" applyBorder="1" applyAlignment="1">
      <alignment vertical="center"/>
    </xf>
    <xf numFmtId="0" fontId="37" fillId="9" borderId="2" xfId="11" applyFont="1" applyFill="1" applyBorder="1" applyAlignment="1">
      <alignment vertical="center"/>
    </xf>
    <xf numFmtId="0" fontId="37" fillId="9" borderId="4" xfId="11" applyFont="1" applyFill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3" fillId="0" borderId="2" xfId="10" applyFont="1" applyFill="1" applyBorder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21" fillId="11" borderId="2" xfId="2" applyFont="1" applyFill="1" applyBorder="1" applyAlignment="1">
      <alignment horizontal="center" vertical="center"/>
    </xf>
    <xf numFmtId="0" fontId="21" fillId="11" borderId="2" xfId="4" applyFont="1" applyFill="1" applyBorder="1" applyAlignment="1">
      <alignment horizontal="center" vertical="center"/>
    </xf>
    <xf numFmtId="0" fontId="21" fillId="11" borderId="2" xfId="3" applyFont="1" applyFill="1" applyBorder="1" applyAlignment="1">
      <alignment horizontal="center" vertical="center"/>
    </xf>
    <xf numFmtId="0" fontId="38" fillId="0" borderId="0" xfId="0" applyFont="1">
      <alignment vertical="center"/>
    </xf>
    <xf numFmtId="0" fontId="21" fillId="18" borderId="2" xfId="2" applyFont="1" applyFill="1" applyBorder="1" applyAlignment="1">
      <alignment horizontal="center" vertical="center"/>
    </xf>
    <xf numFmtId="0" fontId="21" fillId="18" borderId="2" xfId="4" applyFont="1" applyFill="1" applyBorder="1" applyAlignment="1">
      <alignment horizontal="center" vertical="center"/>
    </xf>
    <xf numFmtId="0" fontId="21" fillId="18" borderId="2" xfId="3" applyFont="1" applyFill="1" applyBorder="1" applyAlignment="1">
      <alignment horizontal="center" vertical="center"/>
    </xf>
    <xf numFmtId="0" fontId="10" fillId="12" borderId="2" xfId="2" applyFont="1" applyFill="1" applyBorder="1" applyAlignment="1">
      <alignment horizontal="center" vertical="center"/>
    </xf>
    <xf numFmtId="0" fontId="10" fillId="12" borderId="2" xfId="4" applyFont="1" applyFill="1" applyBorder="1" applyAlignment="1">
      <alignment horizontal="center" vertical="center"/>
    </xf>
    <xf numFmtId="0" fontId="10" fillId="12" borderId="2" xfId="3" applyFont="1" applyFill="1" applyBorder="1" applyAlignment="1">
      <alignment horizontal="center" vertical="center"/>
    </xf>
    <xf numFmtId="0" fontId="9" fillId="19" borderId="0" xfId="0" applyFont="1" applyFill="1">
      <alignment vertical="center"/>
    </xf>
    <xf numFmtId="0" fontId="7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2" xfId="2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10" fillId="0" borderId="0" xfId="2" applyFont="1" applyFill="1" applyBorder="1" applyAlignment="1">
      <alignment vertical="center"/>
    </xf>
    <xf numFmtId="0" fontId="10" fillId="24" borderId="2" xfId="2" applyFont="1" applyFill="1" applyBorder="1" applyAlignment="1">
      <alignment horizontal="center" vertical="center"/>
    </xf>
    <xf numFmtId="0" fontId="10" fillId="24" borderId="2" xfId="4" applyFont="1" applyFill="1" applyBorder="1" applyAlignment="1">
      <alignment horizontal="center" vertical="center"/>
    </xf>
    <xf numFmtId="0" fontId="27" fillId="0" borderId="2" xfId="0" applyFont="1" applyBorder="1">
      <alignment vertical="center"/>
    </xf>
    <xf numFmtId="0" fontId="21" fillId="12" borderId="2" xfId="2" applyFont="1" applyFill="1" applyBorder="1" applyAlignment="1">
      <alignment horizontal="center" vertical="center"/>
    </xf>
    <xf numFmtId="0" fontId="21" fillId="24" borderId="2" xfId="2" applyFont="1" applyFill="1" applyBorder="1" applyAlignment="1">
      <alignment horizontal="center" vertical="center"/>
    </xf>
    <xf numFmtId="0" fontId="21" fillId="24" borderId="2" xfId="4" applyFont="1" applyFill="1" applyBorder="1" applyAlignment="1">
      <alignment horizontal="center" vertical="center"/>
    </xf>
    <xf numFmtId="0" fontId="3" fillId="25" borderId="0" xfId="0" applyFont="1" applyFill="1">
      <alignment vertical="center"/>
    </xf>
    <xf numFmtId="0" fontId="18" fillId="25" borderId="0" xfId="0" applyFont="1" applyFill="1">
      <alignment vertical="center"/>
    </xf>
    <xf numFmtId="0" fontId="38" fillId="0" borderId="2" xfId="0" applyFont="1" applyBorder="1">
      <alignment vertical="center"/>
    </xf>
    <xf numFmtId="0" fontId="39" fillId="0" borderId="0" xfId="0" applyFont="1">
      <alignment vertical="center"/>
    </xf>
    <xf numFmtId="0" fontId="0" fillId="0" borderId="0" xfId="0" applyAlignment="1">
      <alignment vertical="center"/>
    </xf>
    <xf numFmtId="0" fontId="7" fillId="0" borderId="0" xfId="0" applyFont="1" applyFill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9">
    <cellStyle name="百分比 2" xfId="7"/>
    <cellStyle name="常规" xfId="0" builtinId="0"/>
    <cellStyle name="常规 2" xfId="5"/>
    <cellStyle name="常规 2 2" xfId="10"/>
    <cellStyle name="常规 2 2 2" xfId="14"/>
    <cellStyle name="常规 2 3" xfId="9"/>
    <cellStyle name="常规 2 4" xfId="13"/>
    <cellStyle name="常规 3" xfId="6"/>
    <cellStyle name="常规 3 2" xfId="16"/>
    <cellStyle name="常规 4" xfId="8"/>
    <cellStyle name="常规 5" xfId="12"/>
    <cellStyle name="常规 5 2" xfId="18"/>
    <cellStyle name="常规 6" xfId="11"/>
    <cellStyle name="常规 6 2" xfId="17"/>
    <cellStyle name="常规 7" xfId="15"/>
    <cellStyle name="计算" xfId="1" builtinId="22"/>
    <cellStyle name="强调文字颜色 2" xfId="2" builtinId="33"/>
    <cellStyle name="强调文字颜色 4" xfId="3" builtinId="41"/>
    <cellStyle name="强调文字颜色 5" xfId="4" builtinId="45"/>
  </cellStyles>
  <dxfs count="69"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sheng/&#31574;&#21010;/DataConfig/data_xlsm/hero_jib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A1" t="str">
            <v>羁绊ID</v>
          </cell>
          <cell r="B1" t="str">
            <v>羁绊组名称
（显示名称）</v>
          </cell>
          <cell r="C1" t="str">
            <v>羁绊组英雄ID
调用hero_main里面的hero_id,通过逗号进行分割</v>
          </cell>
          <cell r="D1" t="str">
            <v>羁绊角色图标
调用game_res里面的资源id</v>
          </cell>
          <cell r="E1" t="str">
            <v>羁绊组装备ID
（需要用于激活羁绊的英雄id）
调用game_equipment里面的资源id</v>
          </cell>
          <cell r="F1" t="str">
            <v>羁绊装备图标
调用game_res里面的资源id</v>
          </cell>
          <cell r="G1" t="str">
            <v>羁绊组法宝ID
（需要用于激活羁绊的英雄id）
调用game_fabao里面的资源id</v>
          </cell>
          <cell r="H1" t="str">
            <v>羁绊图标
调用game_res里面的资源id</v>
          </cell>
          <cell r="I1" t="str">
            <v>加成效果
（调用hero_effect）</v>
          </cell>
          <cell r="J1" t="str">
            <v>羁绊组描述</v>
          </cell>
        </row>
        <row r="2">
          <cell r="A2" t="str">
            <v>jiban_id</v>
          </cell>
          <cell r="B2" t="str">
            <v>jiban_name</v>
          </cell>
          <cell r="C2" t="str">
            <v>jiban_hero_id</v>
          </cell>
          <cell r="D2" t="str">
            <v>jiban_tubiao</v>
          </cell>
          <cell r="E2" t="str">
            <v>jiban_zhuangbei_id</v>
          </cell>
          <cell r="F2" t="str">
            <v>jiban_tubiao_equ</v>
          </cell>
          <cell r="G2" t="str">
            <v>jiban_fabao_id</v>
          </cell>
          <cell r="H2" t="str">
            <v>jiban_tubiao_fabao</v>
          </cell>
          <cell r="I2" t="str">
            <v>jiban_jiacheng</v>
          </cell>
          <cell r="J2" t="str">
            <v>jiban_description</v>
          </cell>
        </row>
        <row r="3">
          <cell r="A3" t="str">
            <v>s</v>
          </cell>
          <cell r="B3" t="str">
            <v>s</v>
          </cell>
          <cell r="C3" t="str">
            <v>s</v>
          </cell>
          <cell r="D3" t="str">
            <v>s</v>
          </cell>
          <cell r="E3" t="str">
            <v>s</v>
          </cell>
          <cell r="F3" t="str">
            <v>s</v>
          </cell>
          <cell r="G3" t="str">
            <v>s</v>
          </cell>
          <cell r="H3" t="str">
            <v>s</v>
          </cell>
          <cell r="I3" t="str">
            <v>s</v>
          </cell>
          <cell r="J3" t="str">
            <v>s</v>
          </cell>
        </row>
        <row r="4">
          <cell r="A4">
            <v>12011</v>
          </cell>
          <cell r="B4" t="str">
            <v>寻音铃</v>
          </cell>
          <cell r="C4" t="str">
            <v>[]</v>
          </cell>
          <cell r="D4" t="str">
            <v>[]</v>
          </cell>
          <cell r="E4" t="str">
            <v>[]</v>
          </cell>
          <cell r="F4" t="str">
            <v>[]</v>
          </cell>
          <cell r="G4">
            <v>3001</v>
          </cell>
          <cell r="H4">
            <v>3001</v>
          </cell>
          <cell r="I4">
            <v>3002</v>
          </cell>
          <cell r="J4" t="str">
            <v>攻击+12%</v>
          </cell>
        </row>
        <row r="5">
          <cell r="A5">
            <v>12012</v>
          </cell>
          <cell r="B5" t="str">
            <v>照妖镜</v>
          </cell>
          <cell r="C5" t="str">
            <v>[]</v>
          </cell>
          <cell r="D5" t="str">
            <v>[]</v>
          </cell>
          <cell r="E5" t="str">
            <v>[]</v>
          </cell>
          <cell r="F5" t="str">
            <v>[]</v>
          </cell>
          <cell r="G5">
            <v>3002</v>
          </cell>
          <cell r="H5">
            <v>3002</v>
          </cell>
          <cell r="I5">
            <v>3012</v>
          </cell>
          <cell r="J5" t="str">
            <v>生命+12%</v>
          </cell>
        </row>
        <row r="6">
          <cell r="A6">
            <v>12013</v>
          </cell>
          <cell r="B6" t="str">
            <v>八卦镜</v>
          </cell>
          <cell r="C6" t="str">
            <v>[]</v>
          </cell>
          <cell r="D6" t="str">
            <v>[]</v>
          </cell>
          <cell r="E6" t="str">
            <v>[]</v>
          </cell>
          <cell r="F6" t="str">
            <v>[]</v>
          </cell>
          <cell r="G6">
            <v>3006</v>
          </cell>
          <cell r="H6">
            <v>3006</v>
          </cell>
          <cell r="I6">
            <v>3002</v>
          </cell>
          <cell r="J6" t="str">
            <v>攻击+12%</v>
          </cell>
        </row>
        <row r="7">
          <cell r="A7">
            <v>12014</v>
          </cell>
          <cell r="B7" t="str">
            <v>龙纹镜</v>
          </cell>
          <cell r="C7" t="str">
            <v>[]</v>
          </cell>
          <cell r="D7" t="str">
            <v>[]</v>
          </cell>
          <cell r="E7" t="str">
            <v>[]</v>
          </cell>
          <cell r="F7" t="str">
            <v>[]</v>
          </cell>
          <cell r="G7">
            <v>3008</v>
          </cell>
          <cell r="H7">
            <v>3008</v>
          </cell>
          <cell r="I7">
            <v>3012</v>
          </cell>
          <cell r="J7" t="str">
            <v>生命+12%</v>
          </cell>
        </row>
        <row r="8">
          <cell r="A8">
            <v>12015</v>
          </cell>
          <cell r="B8" t="str">
            <v>樱月铃</v>
          </cell>
          <cell r="C8" t="str">
            <v>[]</v>
          </cell>
          <cell r="D8" t="str">
            <v>[]</v>
          </cell>
          <cell r="E8" t="str">
            <v>[]</v>
          </cell>
          <cell r="F8" t="str">
            <v>[]</v>
          </cell>
          <cell r="G8">
            <v>3005</v>
          </cell>
          <cell r="H8">
            <v>3005</v>
          </cell>
          <cell r="I8">
            <v>3002</v>
          </cell>
          <cell r="J8" t="str">
            <v>攻击+12%</v>
          </cell>
        </row>
        <row r="9">
          <cell r="A9">
            <v>12016</v>
          </cell>
          <cell r="B9" t="str">
            <v>迷蝶铃</v>
          </cell>
          <cell r="C9" t="str">
            <v>[]</v>
          </cell>
          <cell r="D9" t="str">
            <v>[]</v>
          </cell>
          <cell r="E9" t="str">
            <v>[]</v>
          </cell>
          <cell r="F9" t="str">
            <v>[]</v>
          </cell>
          <cell r="G9">
            <v>3007</v>
          </cell>
          <cell r="H9">
            <v>3007</v>
          </cell>
          <cell r="I9">
            <v>3012</v>
          </cell>
          <cell r="J9" t="str">
            <v>生命+12%</v>
          </cell>
        </row>
        <row r="10">
          <cell r="A10">
            <v>12017</v>
          </cell>
          <cell r="B10" t="str">
            <v>紫金铃</v>
          </cell>
          <cell r="C10" t="str">
            <v>[]</v>
          </cell>
          <cell r="D10" t="str">
            <v>[]</v>
          </cell>
          <cell r="E10" t="str">
            <v>[]</v>
          </cell>
          <cell r="F10" t="str">
            <v>[]</v>
          </cell>
          <cell r="G10">
            <v>3011</v>
          </cell>
          <cell r="H10">
            <v>3011</v>
          </cell>
          <cell r="I10">
            <v>7312</v>
          </cell>
          <cell r="J10" t="str">
            <v>攻击+12%</v>
          </cell>
        </row>
        <row r="11">
          <cell r="A11">
            <v>12018</v>
          </cell>
          <cell r="B11" t="str">
            <v>混元镜</v>
          </cell>
          <cell r="C11" t="str">
            <v>[]</v>
          </cell>
          <cell r="D11" t="str">
            <v>[]</v>
          </cell>
          <cell r="E11" t="str">
            <v>[]</v>
          </cell>
          <cell r="F11" t="str">
            <v>[]</v>
          </cell>
          <cell r="G11">
            <v>3014</v>
          </cell>
          <cell r="H11">
            <v>3014</v>
          </cell>
          <cell r="I11">
            <v>7212</v>
          </cell>
          <cell r="J11" t="str">
            <v>生命+12%</v>
          </cell>
        </row>
        <row r="12">
          <cell r="A12">
            <v>12019</v>
          </cell>
          <cell r="B12" t="str">
            <v>阴阳镜</v>
          </cell>
          <cell r="C12" t="str">
            <v>[]</v>
          </cell>
          <cell r="D12" t="str">
            <v>[]</v>
          </cell>
          <cell r="E12" t="str">
            <v>[]</v>
          </cell>
          <cell r="F12" t="str">
            <v>[]</v>
          </cell>
          <cell r="G12">
            <v>3012</v>
          </cell>
          <cell r="H12">
            <v>3012</v>
          </cell>
          <cell r="I12">
            <v>7212</v>
          </cell>
          <cell r="J12" t="str">
            <v>生命+12%</v>
          </cell>
        </row>
        <row r="13">
          <cell r="A13">
            <v>12020</v>
          </cell>
          <cell r="B13" t="str">
            <v>幻光铃</v>
          </cell>
          <cell r="C13" t="str">
            <v>[]</v>
          </cell>
          <cell r="D13" t="str">
            <v>[]</v>
          </cell>
          <cell r="E13" t="str">
            <v>[]</v>
          </cell>
          <cell r="F13" t="str">
            <v>[]</v>
          </cell>
          <cell r="G13">
            <v>3013</v>
          </cell>
          <cell r="H13">
            <v>3013</v>
          </cell>
          <cell r="I13">
            <v>7312</v>
          </cell>
          <cell r="J13" t="str">
            <v>攻击+12%</v>
          </cell>
        </row>
        <row r="14">
          <cell r="A14">
            <v>12021</v>
          </cell>
          <cell r="B14" t="str">
            <v>七星宣花铃</v>
          </cell>
          <cell r="C14" t="str">
            <v>[]</v>
          </cell>
          <cell r="D14" t="str">
            <v>[]</v>
          </cell>
          <cell r="E14" t="str">
            <v>[]</v>
          </cell>
          <cell r="F14" t="str">
            <v>[]</v>
          </cell>
          <cell r="G14">
            <v>3017</v>
          </cell>
          <cell r="H14" t="str">
            <v>3017</v>
          </cell>
          <cell r="I14">
            <v>7316</v>
          </cell>
          <cell r="J14" t="str">
            <v>攻击+16%</v>
          </cell>
        </row>
        <row r="15">
          <cell r="A15">
            <v>12022</v>
          </cell>
          <cell r="B15" t="str">
            <v>天翎幻音铃</v>
          </cell>
          <cell r="C15" t="str">
            <v>[]</v>
          </cell>
          <cell r="D15" t="str">
            <v>[]</v>
          </cell>
          <cell r="E15" t="str">
            <v>[]</v>
          </cell>
          <cell r="F15" t="str">
            <v>[]</v>
          </cell>
          <cell r="G15">
            <v>3019</v>
          </cell>
          <cell r="H15" t="str">
            <v>3019</v>
          </cell>
          <cell r="I15">
            <v>7216</v>
          </cell>
          <cell r="J15" t="str">
            <v>生命+16%</v>
          </cell>
        </row>
        <row r="16">
          <cell r="A16">
            <v>12023</v>
          </cell>
          <cell r="B16" t="str">
            <v>太极清源镜</v>
          </cell>
          <cell r="C16" t="str">
            <v>[]</v>
          </cell>
          <cell r="D16" t="str">
            <v>[]</v>
          </cell>
          <cell r="E16" t="str">
            <v>[]</v>
          </cell>
          <cell r="F16" t="str">
            <v>[]</v>
          </cell>
          <cell r="G16">
            <v>3018</v>
          </cell>
          <cell r="H16" t="str">
            <v>3018</v>
          </cell>
          <cell r="I16">
            <v>7316</v>
          </cell>
          <cell r="J16" t="str">
            <v>攻击+16%</v>
          </cell>
        </row>
        <row r="17">
          <cell r="A17">
            <v>12024</v>
          </cell>
          <cell r="B17" t="str">
            <v>羲皇八门镜</v>
          </cell>
          <cell r="C17" t="str">
            <v>[]</v>
          </cell>
          <cell r="D17" t="str">
            <v>[]</v>
          </cell>
          <cell r="E17" t="str">
            <v>[]</v>
          </cell>
          <cell r="F17" t="str">
            <v>[]</v>
          </cell>
          <cell r="G17">
            <v>3020</v>
          </cell>
          <cell r="H17" t="str">
            <v>3020</v>
          </cell>
          <cell r="I17">
            <v>7216</v>
          </cell>
          <cell r="J17" t="str">
            <v>生命+16%</v>
          </cell>
        </row>
        <row r="18">
          <cell r="A18">
            <v>20001</v>
          </cell>
          <cell r="B18" t="str">
            <v>破魔战甲</v>
          </cell>
          <cell r="C18" t="str">
            <v>[]</v>
          </cell>
          <cell r="D18" t="str">
            <v>[]</v>
          </cell>
          <cell r="E18">
            <v>2025</v>
          </cell>
          <cell r="F18" t="str">
            <v>lanying_hujia</v>
          </cell>
          <cell r="G18" t="str">
            <v>[]</v>
          </cell>
          <cell r="H18" t="str">
            <v>[]</v>
          </cell>
          <cell r="I18" t="str">
            <v>3001,3011,3021,3031</v>
          </cell>
          <cell r="J18" t="str">
            <v>生命，攻击，防御+10%</v>
          </cell>
        </row>
        <row r="19">
          <cell r="A19">
            <v>20002</v>
          </cell>
          <cell r="B19" t="str">
            <v>破魔长剑</v>
          </cell>
          <cell r="C19" t="str">
            <v>[]</v>
          </cell>
          <cell r="D19" t="str">
            <v>[]</v>
          </cell>
          <cell r="E19">
            <v>2026</v>
          </cell>
          <cell r="F19" t="str">
            <v>lanying_wuqi</v>
          </cell>
          <cell r="G19" t="str">
            <v>[]</v>
          </cell>
          <cell r="H19" t="str">
            <v>[]</v>
          </cell>
          <cell r="I19" t="str">
            <v>3001,3011,3021,3031</v>
          </cell>
          <cell r="J19" t="str">
            <v>生命，攻击，防御+10%</v>
          </cell>
        </row>
        <row r="20">
          <cell r="A20">
            <v>20003</v>
          </cell>
          <cell r="B20" t="str">
            <v>破魔头盔</v>
          </cell>
          <cell r="C20" t="str">
            <v>[]</v>
          </cell>
          <cell r="D20" t="str">
            <v>[]</v>
          </cell>
          <cell r="E20">
            <v>2027</v>
          </cell>
          <cell r="F20" t="str">
            <v>lanying_toukui</v>
          </cell>
          <cell r="G20" t="str">
            <v>[]</v>
          </cell>
          <cell r="H20" t="str">
            <v>[]</v>
          </cell>
          <cell r="I20" t="str">
            <v>3001,3011,3021,3031</v>
          </cell>
          <cell r="J20" t="str">
            <v>生命，攻击，防御+10%</v>
          </cell>
        </row>
        <row r="21">
          <cell r="A21">
            <v>20004</v>
          </cell>
          <cell r="B21" t="str">
            <v>破魔战靴</v>
          </cell>
          <cell r="C21" t="str">
            <v>[]</v>
          </cell>
          <cell r="D21" t="str">
            <v>[]</v>
          </cell>
          <cell r="E21">
            <v>2028</v>
          </cell>
          <cell r="F21" t="str">
            <v>lanying_xie</v>
          </cell>
          <cell r="G21" t="str">
            <v>[]</v>
          </cell>
          <cell r="H21" t="str">
            <v>[]</v>
          </cell>
          <cell r="I21" t="str">
            <v>3001,3011,3021,3031</v>
          </cell>
          <cell r="J21" t="str">
            <v>生命，攻击，防御+10%</v>
          </cell>
        </row>
        <row r="22">
          <cell r="A22">
            <v>20005</v>
          </cell>
          <cell r="B22" t="str">
            <v>封魔战甲</v>
          </cell>
          <cell r="C22" t="str">
            <v>[]</v>
          </cell>
          <cell r="D22" t="str">
            <v>[]</v>
          </cell>
          <cell r="E22">
            <v>2045</v>
          </cell>
          <cell r="F22" t="str">
            <v>youlong_hujia</v>
          </cell>
          <cell r="G22" t="str">
            <v>[]</v>
          </cell>
          <cell r="H22" t="str">
            <v>[]</v>
          </cell>
          <cell r="I22" t="str">
            <v>3002,3012,3022,3032</v>
          </cell>
          <cell r="J22" t="str">
            <v>生命，攻击，防御+12%</v>
          </cell>
        </row>
        <row r="23">
          <cell r="A23">
            <v>20006</v>
          </cell>
          <cell r="B23" t="str">
            <v>封魔长剑</v>
          </cell>
          <cell r="C23" t="str">
            <v>[]</v>
          </cell>
          <cell r="D23" t="str">
            <v>[]</v>
          </cell>
          <cell r="E23">
            <v>2046</v>
          </cell>
          <cell r="F23" t="str">
            <v>youlong_wuqi</v>
          </cell>
          <cell r="G23" t="str">
            <v>[]</v>
          </cell>
          <cell r="H23" t="str">
            <v>[]</v>
          </cell>
          <cell r="I23" t="str">
            <v>3002,3012,3022,3032</v>
          </cell>
          <cell r="J23" t="str">
            <v>生命，攻击，防御+12%</v>
          </cell>
        </row>
        <row r="24">
          <cell r="A24">
            <v>20007</v>
          </cell>
          <cell r="B24" t="str">
            <v>封魔头盔</v>
          </cell>
          <cell r="C24" t="str">
            <v>[]</v>
          </cell>
          <cell r="D24" t="str">
            <v>[]</v>
          </cell>
          <cell r="E24">
            <v>2047</v>
          </cell>
          <cell r="F24" t="str">
            <v>youlong_toukui</v>
          </cell>
          <cell r="G24" t="str">
            <v>[]</v>
          </cell>
          <cell r="H24" t="str">
            <v>[]</v>
          </cell>
          <cell r="I24" t="str">
            <v>3002,3012,3022,3032</v>
          </cell>
          <cell r="J24" t="str">
            <v>生命，攻击，防御+12%</v>
          </cell>
        </row>
        <row r="25">
          <cell r="A25">
            <v>20008</v>
          </cell>
          <cell r="B25" t="str">
            <v>封魔战靴</v>
          </cell>
          <cell r="C25" t="str">
            <v>[]</v>
          </cell>
          <cell r="D25" t="str">
            <v>[]</v>
          </cell>
          <cell r="E25">
            <v>2048</v>
          </cell>
          <cell r="F25" t="str">
            <v>youlong_xie</v>
          </cell>
          <cell r="G25" t="str">
            <v>[]</v>
          </cell>
          <cell r="H25" t="str">
            <v>[]</v>
          </cell>
          <cell r="I25" t="str">
            <v>3002,3012,3022,3032</v>
          </cell>
          <cell r="J25" t="str">
            <v>生命，攻击，防御+12%</v>
          </cell>
        </row>
        <row r="26">
          <cell r="A26">
            <v>20009</v>
          </cell>
          <cell r="B26" t="str">
            <v>降魔战甲</v>
          </cell>
          <cell r="C26" t="str">
            <v>[]</v>
          </cell>
          <cell r="D26" t="str">
            <v>[]</v>
          </cell>
          <cell r="E26">
            <v>2065</v>
          </cell>
          <cell r="F26" t="str">
            <v>zhutian_hujia</v>
          </cell>
          <cell r="G26" t="str">
            <v>[]</v>
          </cell>
          <cell r="H26" t="str">
            <v>[]</v>
          </cell>
          <cell r="I26" t="str">
            <v>3004,3014,3024,3034</v>
          </cell>
          <cell r="J26" t="str">
            <v>生命，攻击，防御+16%</v>
          </cell>
        </row>
        <row r="27">
          <cell r="A27">
            <v>20010</v>
          </cell>
          <cell r="B27" t="str">
            <v>降魔长剑</v>
          </cell>
          <cell r="C27" t="str">
            <v>[]</v>
          </cell>
          <cell r="D27" t="str">
            <v>[]</v>
          </cell>
          <cell r="E27">
            <v>2066</v>
          </cell>
          <cell r="F27" t="str">
            <v>zhutian_wuqi</v>
          </cell>
          <cell r="G27" t="str">
            <v>[]</v>
          </cell>
          <cell r="H27" t="str">
            <v>[]</v>
          </cell>
          <cell r="I27" t="str">
            <v>3004,3014,3024,3034</v>
          </cell>
          <cell r="J27" t="str">
            <v>生命，攻击，防御+16%</v>
          </cell>
        </row>
        <row r="28">
          <cell r="A28">
            <v>20011</v>
          </cell>
          <cell r="B28" t="str">
            <v>降魔头盔</v>
          </cell>
          <cell r="C28" t="str">
            <v>[]</v>
          </cell>
          <cell r="D28" t="str">
            <v>[]</v>
          </cell>
          <cell r="E28">
            <v>2067</v>
          </cell>
          <cell r="F28" t="str">
            <v>zhutian_toukui</v>
          </cell>
          <cell r="G28" t="str">
            <v>[]</v>
          </cell>
          <cell r="H28" t="str">
            <v>[]</v>
          </cell>
          <cell r="I28" t="str">
            <v>3004,3014,3024,3034</v>
          </cell>
          <cell r="J28" t="str">
            <v>生命，攻击，防御+16%</v>
          </cell>
        </row>
        <row r="29">
          <cell r="A29">
            <v>20012</v>
          </cell>
          <cell r="B29" t="str">
            <v>降魔战靴</v>
          </cell>
          <cell r="C29" t="str">
            <v>[]</v>
          </cell>
          <cell r="D29" t="str">
            <v>[]</v>
          </cell>
          <cell r="E29">
            <v>2068</v>
          </cell>
          <cell r="F29" t="str">
            <v>zhutian_xie</v>
          </cell>
          <cell r="G29" t="str">
            <v>[]</v>
          </cell>
          <cell r="H29" t="str">
            <v>[]</v>
          </cell>
          <cell r="I29" t="str">
            <v>3004,3014,3024,3034</v>
          </cell>
          <cell r="J29" t="str">
            <v>生命，攻击，防御+16%</v>
          </cell>
        </row>
        <row r="30">
          <cell r="A30">
            <v>20101</v>
          </cell>
          <cell r="B30" t="str">
            <v>紫金铃</v>
          </cell>
          <cell r="C30" t="str">
            <v>[]</v>
          </cell>
          <cell r="D30" t="str">
            <v>[]</v>
          </cell>
          <cell r="E30" t="str">
            <v>[]</v>
          </cell>
          <cell r="F30" t="str">
            <v>[]</v>
          </cell>
          <cell r="G30">
            <v>3011</v>
          </cell>
          <cell r="H30">
            <v>3011</v>
          </cell>
          <cell r="I30">
            <v>7312</v>
          </cell>
          <cell r="J30" t="str">
            <v>攻击+12%</v>
          </cell>
        </row>
        <row r="31">
          <cell r="A31">
            <v>20102</v>
          </cell>
          <cell r="B31" t="str">
            <v>阴阳镜</v>
          </cell>
          <cell r="C31" t="str">
            <v>[]</v>
          </cell>
          <cell r="D31" t="str">
            <v>[]</v>
          </cell>
          <cell r="E31" t="str">
            <v>[]</v>
          </cell>
          <cell r="F31" t="str">
            <v>[]</v>
          </cell>
          <cell r="G31">
            <v>3012</v>
          </cell>
          <cell r="H31">
            <v>3012</v>
          </cell>
          <cell r="I31">
            <v>7212</v>
          </cell>
          <cell r="J31" t="str">
            <v>生命+12%</v>
          </cell>
        </row>
        <row r="32">
          <cell r="A32">
            <v>20103</v>
          </cell>
          <cell r="B32" t="str">
            <v>七星宣花铃</v>
          </cell>
          <cell r="C32" t="str">
            <v>[]</v>
          </cell>
          <cell r="D32" t="str">
            <v>[]</v>
          </cell>
          <cell r="E32" t="str">
            <v>[]</v>
          </cell>
          <cell r="F32" t="str">
            <v>[]</v>
          </cell>
          <cell r="G32">
            <v>3017</v>
          </cell>
          <cell r="H32">
            <v>3017</v>
          </cell>
          <cell r="I32">
            <v>7316</v>
          </cell>
          <cell r="J32" t="str">
            <v>攻击+16%</v>
          </cell>
        </row>
        <row r="33">
          <cell r="A33">
            <v>20104</v>
          </cell>
          <cell r="B33" t="str">
            <v>太极清源镜</v>
          </cell>
          <cell r="C33" t="str">
            <v>[]</v>
          </cell>
          <cell r="D33" t="str">
            <v>[]</v>
          </cell>
          <cell r="E33" t="str">
            <v>[]</v>
          </cell>
          <cell r="F33" t="str">
            <v>[]</v>
          </cell>
          <cell r="G33">
            <v>3018</v>
          </cell>
          <cell r="H33">
            <v>3018</v>
          </cell>
          <cell r="I33">
            <v>7216</v>
          </cell>
          <cell r="J33" t="str">
            <v>生命+16%</v>
          </cell>
        </row>
        <row r="34">
          <cell r="A34">
            <v>11011</v>
          </cell>
          <cell r="B34" t="str">
            <v>降魔伏妖</v>
          </cell>
          <cell r="C34" t="str">
            <v>1119,1124,1113,1116</v>
          </cell>
          <cell r="D34" t="str">
            <v>head_sunwukong,head_shaheshang,head_hulidaxian,head_baigufuren</v>
          </cell>
          <cell r="E34" t="str">
            <v>[]</v>
          </cell>
          <cell r="F34" t="str">
            <v>[]</v>
          </cell>
          <cell r="G34" t="str">
            <v>[]</v>
          </cell>
          <cell r="H34" t="str">
            <v>[]</v>
          </cell>
          <cell r="I34" t="str">
            <v>7230,7330</v>
          </cell>
          <cell r="J34" t="str">
            <v>生命，攻击+30%</v>
          </cell>
        </row>
        <row r="35">
          <cell r="A35">
            <v>11012</v>
          </cell>
          <cell r="B35" t="str">
            <v>妖界之王</v>
          </cell>
          <cell r="C35" t="str">
            <v>1112,1111,1120,1115</v>
          </cell>
          <cell r="D35" t="str">
            <v>head_niumowang,head_tieshangongzhu,head_zhubajie,head_yanglidaxian</v>
          </cell>
          <cell r="E35" t="str">
            <v>[]</v>
          </cell>
          <cell r="F35" t="str">
            <v>[]</v>
          </cell>
          <cell r="G35" t="str">
            <v>[]</v>
          </cell>
          <cell r="H35" t="str">
            <v>[]</v>
          </cell>
          <cell r="I35" t="str">
            <v>7230,7330</v>
          </cell>
          <cell r="J35" t="str">
            <v>生命，攻击+30%</v>
          </cell>
        </row>
        <row r="36">
          <cell r="A36">
            <v>11013</v>
          </cell>
          <cell r="B36" t="str">
            <v>西行之路</v>
          </cell>
          <cell r="C36" t="str">
            <v>1119,1124,1120</v>
          </cell>
          <cell r="D36" t="str">
            <v>head_sunwukong,head_shaheshang,head_zhubajie</v>
          </cell>
          <cell r="E36" t="str">
            <v>[]</v>
          </cell>
          <cell r="F36" t="str">
            <v>[]</v>
          </cell>
          <cell r="G36" t="str">
            <v>[]</v>
          </cell>
          <cell r="H36" t="str">
            <v>[]</v>
          </cell>
          <cell r="I36" t="str">
            <v>7224,7324</v>
          </cell>
          <cell r="J36" t="str">
            <v>生命，攻击+24%</v>
          </cell>
        </row>
        <row r="37">
          <cell r="A37">
            <v>11014</v>
          </cell>
          <cell r="B37" t="str">
            <v>称王称霸</v>
          </cell>
          <cell r="C37" t="str">
            <v>1112,1111,1113</v>
          </cell>
          <cell r="D37" t="str">
            <v>head_niumowang,head_tieshangongzhu,head_hulidaxian</v>
          </cell>
          <cell r="E37" t="str">
            <v>[]</v>
          </cell>
          <cell r="F37" t="str">
            <v>[]</v>
          </cell>
          <cell r="G37" t="str">
            <v>[]</v>
          </cell>
          <cell r="H37" t="str">
            <v>[]</v>
          </cell>
          <cell r="I37" t="str">
            <v>7224,7324</v>
          </cell>
          <cell r="J37" t="str">
            <v>生命，攻击+24%</v>
          </cell>
        </row>
        <row r="38">
          <cell r="A38">
            <v>11015</v>
          </cell>
          <cell r="B38" t="str">
            <v>环肥燕瘦</v>
          </cell>
          <cell r="C38" t="str">
            <v>1120,1116,1115</v>
          </cell>
          <cell r="D38" t="str">
            <v>head_zhubajie,head_baigufuren,head_yanglidaxian</v>
          </cell>
          <cell r="E38" t="str">
            <v>[]</v>
          </cell>
          <cell r="F38" t="str">
            <v>[]</v>
          </cell>
          <cell r="G38" t="str">
            <v>[]</v>
          </cell>
          <cell r="H38" t="str">
            <v>[]</v>
          </cell>
          <cell r="I38" t="str">
            <v>7220,7820,7920</v>
          </cell>
          <cell r="J38" t="str">
            <v>生命，防御+20%</v>
          </cell>
        </row>
        <row r="39">
          <cell r="A39">
            <v>11016</v>
          </cell>
          <cell r="B39" t="str">
            <v>妖法无边</v>
          </cell>
          <cell r="C39" t="str">
            <v>1113,1116,1115</v>
          </cell>
          <cell r="D39" t="str">
            <v>head_hulidaxian,head_baigufuren,head_yanglidaxian</v>
          </cell>
          <cell r="E39" t="str">
            <v>[]</v>
          </cell>
          <cell r="F39" t="str">
            <v>[]</v>
          </cell>
          <cell r="G39" t="str">
            <v>[]</v>
          </cell>
          <cell r="H39" t="str">
            <v>[]</v>
          </cell>
          <cell r="I39" t="str">
            <v>7220,7820,7920</v>
          </cell>
          <cell r="J39" t="str">
            <v>生命，防御+20%</v>
          </cell>
        </row>
        <row r="40">
          <cell r="A40">
            <v>11017</v>
          </cell>
          <cell r="B40" t="str">
            <v>邪不压正</v>
          </cell>
          <cell r="C40" t="str">
            <v>1117,1132,1208</v>
          </cell>
          <cell r="D40" t="str">
            <v>head_liuermihou,head_hunshimowang,head_caidiexiantong</v>
          </cell>
          <cell r="E40" t="str">
            <v>[]</v>
          </cell>
          <cell r="F40" t="str">
            <v>[]</v>
          </cell>
          <cell r="G40" t="str">
            <v>[]</v>
          </cell>
          <cell r="H40" t="str">
            <v>[]</v>
          </cell>
          <cell r="I40" t="str">
            <v>7220,7820,7920</v>
          </cell>
          <cell r="J40" t="str">
            <v>生命，防御+20%</v>
          </cell>
        </row>
        <row r="41">
          <cell r="A41">
            <v>11018</v>
          </cell>
          <cell r="B41" t="str">
            <v>红粉佳人</v>
          </cell>
          <cell r="C41" t="str">
            <v>1114,1132,1208</v>
          </cell>
          <cell r="D41" t="str">
            <v>head_lulidaxian,head_hunshimowang,head_caidiexiantong</v>
          </cell>
          <cell r="E41" t="str">
            <v>[]</v>
          </cell>
          <cell r="F41" t="str">
            <v>[]</v>
          </cell>
          <cell r="G41" t="str">
            <v>[]</v>
          </cell>
          <cell r="H41" t="str">
            <v>[]</v>
          </cell>
          <cell r="I41" t="str">
            <v>7220,7320</v>
          </cell>
          <cell r="J41" t="str">
            <v>生命，攻击+20%</v>
          </cell>
        </row>
        <row r="42">
          <cell r="A42">
            <v>11019</v>
          </cell>
          <cell r="B42" t="str">
            <v>恩将仇报</v>
          </cell>
          <cell r="C42" t="str">
            <v>1131,1137,1114</v>
          </cell>
          <cell r="D42" t="str">
            <v>head_xiezijing,head_zhizhujing,head_lulidaxian</v>
          </cell>
          <cell r="E42" t="str">
            <v>[]</v>
          </cell>
          <cell r="F42" t="str">
            <v>[]</v>
          </cell>
          <cell r="G42" t="str">
            <v>[]</v>
          </cell>
          <cell r="H42" t="str">
            <v>[]</v>
          </cell>
          <cell r="I42" t="str">
            <v>7220,7820,7920</v>
          </cell>
          <cell r="J42" t="str">
            <v>生命，防御+20%</v>
          </cell>
        </row>
        <row r="43">
          <cell r="A43">
            <v>11020</v>
          </cell>
          <cell r="B43" t="str">
            <v>秀色可餐</v>
          </cell>
          <cell r="C43" t="str">
            <v>1117,1131,1137</v>
          </cell>
          <cell r="D43" t="str">
            <v>head_liuermihou,head_xiezijing,head_zhizhujing</v>
          </cell>
          <cell r="E43" t="str">
            <v>[]</v>
          </cell>
          <cell r="F43" t="str">
            <v>[]</v>
          </cell>
          <cell r="G43" t="str">
            <v>[]</v>
          </cell>
          <cell r="H43" t="str">
            <v>[]</v>
          </cell>
          <cell r="I43" t="str">
            <v>7220,7320</v>
          </cell>
          <cell r="J43" t="str">
            <v>生命，攻击+20%</v>
          </cell>
        </row>
        <row r="44">
          <cell r="A44">
            <v>11021</v>
          </cell>
          <cell r="B44" t="str">
            <v>爱恨纠缠</v>
          </cell>
          <cell r="C44" t="str">
            <v>1119,1116</v>
          </cell>
          <cell r="D44" t="str">
            <v>head_sunwukong,head_baigufuren</v>
          </cell>
          <cell r="E44" t="str">
            <v>[]</v>
          </cell>
          <cell r="F44" t="str">
            <v>[]</v>
          </cell>
          <cell r="G44" t="str">
            <v>[]</v>
          </cell>
          <cell r="H44" t="str">
            <v>[]</v>
          </cell>
          <cell r="I44" t="str">
            <v>7820,7920</v>
          </cell>
          <cell r="J44" t="str">
            <v>防御+20%</v>
          </cell>
        </row>
        <row r="45">
          <cell r="A45">
            <v>11022</v>
          </cell>
          <cell r="B45" t="str">
            <v>千年修行</v>
          </cell>
          <cell r="C45" t="str">
            <v>1124,1116</v>
          </cell>
          <cell r="D45" t="str">
            <v>head_shaheshang,head_baigufuren</v>
          </cell>
          <cell r="E45" t="str">
            <v>[]</v>
          </cell>
          <cell r="F45" t="str">
            <v>[]</v>
          </cell>
          <cell r="G45" t="str">
            <v>[]</v>
          </cell>
          <cell r="H45" t="str">
            <v>[]</v>
          </cell>
          <cell r="I45" t="str">
            <v>7820,7920</v>
          </cell>
          <cell r="J45" t="str">
            <v>防御+20%</v>
          </cell>
        </row>
        <row r="46">
          <cell r="A46">
            <v>11023</v>
          </cell>
          <cell r="B46" t="str">
            <v>铁汉柔情</v>
          </cell>
          <cell r="C46" t="str">
            <v>1112,1115</v>
          </cell>
          <cell r="D46" t="str">
            <v>head_niumowang,head_yanglidaxian</v>
          </cell>
          <cell r="E46" t="str">
            <v>[]</v>
          </cell>
          <cell r="F46" t="str">
            <v>[]</v>
          </cell>
          <cell r="G46" t="str">
            <v>[]</v>
          </cell>
          <cell r="H46" t="str">
            <v>[]</v>
          </cell>
          <cell r="I46" t="str">
            <v>7820,7920</v>
          </cell>
          <cell r="J46" t="str">
            <v>防御+20%</v>
          </cell>
        </row>
        <row r="47">
          <cell r="A47">
            <v>11024</v>
          </cell>
          <cell r="B47" t="str">
            <v>如花似玉</v>
          </cell>
          <cell r="C47" t="str">
            <v>1111,1115</v>
          </cell>
          <cell r="D47" t="str">
            <v>head_tieshangongzhu,head_yanglidaxian</v>
          </cell>
          <cell r="E47" t="str">
            <v>[]</v>
          </cell>
          <cell r="F47" t="str">
            <v>[]</v>
          </cell>
          <cell r="G47" t="str">
            <v>[]</v>
          </cell>
          <cell r="H47" t="str">
            <v>[]</v>
          </cell>
          <cell r="I47" t="str">
            <v>7820,7920</v>
          </cell>
          <cell r="J47" t="str">
            <v>防御+20%</v>
          </cell>
        </row>
        <row r="48">
          <cell r="A48">
            <v>11025</v>
          </cell>
          <cell r="B48" t="str">
            <v>狂战四方</v>
          </cell>
          <cell r="C48" t="str">
            <v>1120,1117</v>
          </cell>
          <cell r="D48" t="str">
            <v>head_zhubajie,head_liuermihou</v>
          </cell>
          <cell r="E48" t="str">
            <v>[]</v>
          </cell>
          <cell r="F48" t="str">
            <v>[]</v>
          </cell>
          <cell r="G48" t="str">
            <v>[]</v>
          </cell>
          <cell r="H48" t="str">
            <v>[]</v>
          </cell>
          <cell r="I48" t="str">
            <v>7816,7916</v>
          </cell>
          <cell r="J48" t="str">
            <v>防御+16%</v>
          </cell>
        </row>
        <row r="49">
          <cell r="A49">
            <v>11026</v>
          </cell>
          <cell r="B49" t="str">
            <v>平顶斗法</v>
          </cell>
          <cell r="C49" t="str">
            <v>1113,1117</v>
          </cell>
          <cell r="D49" t="str">
            <v>head_hulidaxian,head_liuermihou</v>
          </cell>
          <cell r="E49" t="str">
            <v>[]</v>
          </cell>
          <cell r="F49" t="str">
            <v>[]</v>
          </cell>
          <cell r="G49" t="str">
            <v>[]</v>
          </cell>
          <cell r="H49" t="str">
            <v>[]</v>
          </cell>
          <cell r="I49" t="str">
            <v>7316</v>
          </cell>
          <cell r="J49" t="str">
            <v>攻击+16%</v>
          </cell>
        </row>
        <row r="50">
          <cell r="A50">
            <v>11027</v>
          </cell>
          <cell r="B50" t="str">
            <v>乱斗三界</v>
          </cell>
          <cell r="C50" t="str">
            <v>1120,1132</v>
          </cell>
          <cell r="D50" t="str">
            <v>head_zhubajie,head_hunshimowang</v>
          </cell>
          <cell r="E50" t="str">
            <v>[]</v>
          </cell>
          <cell r="F50" t="str">
            <v>[]</v>
          </cell>
          <cell r="G50" t="str">
            <v>[]</v>
          </cell>
          <cell r="H50" t="str">
            <v>[]</v>
          </cell>
          <cell r="I50" t="str">
            <v>7316</v>
          </cell>
          <cell r="J50" t="str">
            <v>攻击+16%</v>
          </cell>
        </row>
        <row r="51">
          <cell r="A51">
            <v>11028</v>
          </cell>
          <cell r="B51" t="str">
            <v>飞沙走石</v>
          </cell>
          <cell r="C51" t="str">
            <v>1113,1132</v>
          </cell>
          <cell r="D51" t="str">
            <v>head_hulidaxian,head_hunshimowang</v>
          </cell>
          <cell r="E51" t="str">
            <v>[]</v>
          </cell>
          <cell r="F51" t="str">
            <v>[]</v>
          </cell>
          <cell r="G51" t="str">
            <v>[]</v>
          </cell>
          <cell r="H51" t="str">
            <v>[]</v>
          </cell>
          <cell r="I51" t="str">
            <v>7816,7916</v>
          </cell>
          <cell r="J51" t="str">
            <v>防御+16%</v>
          </cell>
        </row>
        <row r="52">
          <cell r="A52">
            <v>11029</v>
          </cell>
          <cell r="B52" t="str">
            <v>威震四方</v>
          </cell>
          <cell r="C52" t="str">
            <v>1120,1113</v>
          </cell>
          <cell r="D52" t="str">
            <v>head_zhubajie,head_hulidaxian</v>
          </cell>
          <cell r="E52" t="str">
            <v>[]</v>
          </cell>
          <cell r="F52" t="str">
            <v>[]</v>
          </cell>
          <cell r="G52" t="str">
            <v>[]</v>
          </cell>
          <cell r="H52" t="str">
            <v>[]</v>
          </cell>
          <cell r="I52" t="str">
            <v>7820,7920</v>
          </cell>
          <cell r="J52" t="str">
            <v>防御+20%</v>
          </cell>
        </row>
        <row r="53">
          <cell r="A53">
            <v>11030</v>
          </cell>
          <cell r="B53" t="str">
            <v>车池斗法</v>
          </cell>
          <cell r="C53" t="str">
            <v>1119,1114</v>
          </cell>
          <cell r="D53" t="str">
            <v>head_sunwukong,head_lulidaxian</v>
          </cell>
          <cell r="E53" t="str">
            <v>[]</v>
          </cell>
          <cell r="F53" t="str">
            <v>[]</v>
          </cell>
          <cell r="G53" t="str">
            <v>[]</v>
          </cell>
          <cell r="H53" t="str">
            <v>[]</v>
          </cell>
          <cell r="I53" t="str">
            <v>7316</v>
          </cell>
          <cell r="J53" t="str">
            <v>攻击+16%</v>
          </cell>
        </row>
        <row r="54">
          <cell r="A54">
            <v>11031</v>
          </cell>
          <cell r="B54" t="str">
            <v>群妖乱舞</v>
          </cell>
          <cell r="C54" t="str">
            <v>1112,1114</v>
          </cell>
          <cell r="D54" t="str">
            <v>head_niumowang,head_lulidaxian</v>
          </cell>
          <cell r="E54" t="str">
            <v>[]</v>
          </cell>
          <cell r="F54" t="str">
            <v>[]</v>
          </cell>
          <cell r="G54" t="str">
            <v>[]</v>
          </cell>
          <cell r="H54" t="str">
            <v>[]</v>
          </cell>
          <cell r="I54" t="str">
            <v>7216</v>
          </cell>
          <cell r="J54" t="str">
            <v>生命+16%</v>
          </cell>
        </row>
        <row r="55">
          <cell r="A55">
            <v>11032</v>
          </cell>
          <cell r="B55" t="str">
            <v>芳心暗许</v>
          </cell>
          <cell r="C55" t="str">
            <v>1124,1131</v>
          </cell>
          <cell r="D55" t="str">
            <v>head_shaheshang,head_xiezijing</v>
          </cell>
          <cell r="E55" t="str">
            <v>[]</v>
          </cell>
          <cell r="F55" t="str">
            <v>[]</v>
          </cell>
          <cell r="G55" t="str">
            <v>[]</v>
          </cell>
          <cell r="H55" t="str">
            <v>[]</v>
          </cell>
          <cell r="I55" t="str">
            <v>7816,7916</v>
          </cell>
          <cell r="J55" t="str">
            <v>防御+16%</v>
          </cell>
        </row>
        <row r="56">
          <cell r="A56">
            <v>11033</v>
          </cell>
          <cell r="B56" t="str">
            <v>千娇百媚</v>
          </cell>
          <cell r="C56" t="str">
            <v>1111,1131</v>
          </cell>
          <cell r="D56" t="str">
            <v>head_tieshangongzhu,head_xiezijing</v>
          </cell>
          <cell r="E56" t="str">
            <v>[]</v>
          </cell>
          <cell r="F56" t="str">
            <v>[]</v>
          </cell>
          <cell r="G56" t="str">
            <v>[]</v>
          </cell>
          <cell r="H56" t="str">
            <v>[]</v>
          </cell>
          <cell r="I56" t="str">
            <v>7316</v>
          </cell>
          <cell r="J56" t="str">
            <v>攻击+16%</v>
          </cell>
        </row>
        <row r="57">
          <cell r="A57">
            <v>11034</v>
          </cell>
          <cell r="B57" t="str">
            <v>为情所困</v>
          </cell>
          <cell r="C57" t="str">
            <v>1119,1137</v>
          </cell>
          <cell r="D57" t="str">
            <v>head_sunwukong,head_zhizhujing</v>
          </cell>
          <cell r="E57" t="str">
            <v>[]</v>
          </cell>
          <cell r="F57" t="str">
            <v>[]</v>
          </cell>
          <cell r="G57" t="str">
            <v>[]</v>
          </cell>
          <cell r="H57" t="str">
            <v>[]</v>
          </cell>
          <cell r="I57" t="str">
            <v>7816,7916</v>
          </cell>
          <cell r="J57" t="str">
            <v>防御+16%</v>
          </cell>
        </row>
        <row r="58">
          <cell r="A58">
            <v>11035</v>
          </cell>
          <cell r="B58" t="str">
            <v>情迷蛛女</v>
          </cell>
          <cell r="C58" t="str">
            <v>1112,1137</v>
          </cell>
          <cell r="D58" t="str">
            <v>head_niumowang,head_zhizhujing</v>
          </cell>
          <cell r="E58" t="str">
            <v>[]</v>
          </cell>
          <cell r="F58" t="str">
            <v>[]</v>
          </cell>
          <cell r="G58" t="str">
            <v>[]</v>
          </cell>
          <cell r="H58" t="str">
            <v>[]</v>
          </cell>
          <cell r="I58" t="str">
            <v>7316</v>
          </cell>
          <cell r="J58" t="str">
            <v>攻击+16%</v>
          </cell>
        </row>
        <row r="59">
          <cell r="A59">
            <v>11036</v>
          </cell>
          <cell r="B59" t="str">
            <v>纯真无邪</v>
          </cell>
          <cell r="C59" t="str">
            <v>1124,1208</v>
          </cell>
          <cell r="D59" t="str">
            <v>head_shaheshang,head_caidiexiantong</v>
          </cell>
          <cell r="E59" t="str">
            <v>[]</v>
          </cell>
          <cell r="F59" t="str">
            <v>[]</v>
          </cell>
          <cell r="G59" t="str">
            <v>[]</v>
          </cell>
          <cell r="H59" t="str">
            <v>[]</v>
          </cell>
          <cell r="I59" t="str">
            <v>7316</v>
          </cell>
          <cell r="J59" t="str">
            <v>攻击+16%</v>
          </cell>
        </row>
        <row r="60">
          <cell r="A60">
            <v>11037</v>
          </cell>
          <cell r="B60" t="str">
            <v>迷津蝶影</v>
          </cell>
          <cell r="C60" t="str">
            <v>1111,1208</v>
          </cell>
          <cell r="D60" t="str">
            <v>head_tieshangongzhu,head_caidiexiantong</v>
          </cell>
          <cell r="E60" t="str">
            <v>[]</v>
          </cell>
          <cell r="F60" t="str">
            <v>[]</v>
          </cell>
          <cell r="G60" t="str">
            <v>[]</v>
          </cell>
          <cell r="H60" t="str">
            <v>[]</v>
          </cell>
          <cell r="I60" t="str">
            <v>7216</v>
          </cell>
          <cell r="J60" t="str">
            <v>生命+16%</v>
          </cell>
        </row>
        <row r="61">
          <cell r="A61">
            <v>11038</v>
          </cell>
          <cell r="B61" t="str">
            <v>真假猴王</v>
          </cell>
          <cell r="C61" t="str">
            <v>1119,1117</v>
          </cell>
          <cell r="D61" t="str">
            <v>head_sunwukong,head_liuermihou</v>
          </cell>
          <cell r="E61" t="str">
            <v>[]</v>
          </cell>
          <cell r="F61" t="str">
            <v>[]</v>
          </cell>
          <cell r="G61" t="str">
            <v>[]</v>
          </cell>
          <cell r="H61" t="str">
            <v>[]</v>
          </cell>
          <cell r="I61" t="str">
            <v>7216</v>
          </cell>
          <cell r="J61" t="str">
            <v>生命+16%</v>
          </cell>
        </row>
        <row r="62">
          <cell r="A62">
            <v>11039</v>
          </cell>
          <cell r="B62" t="str">
            <v>征战不休</v>
          </cell>
          <cell r="C62" t="str">
            <v>1124,1132</v>
          </cell>
          <cell r="D62" t="str">
            <v>head_shaheshang,head_hunshimowang</v>
          </cell>
          <cell r="E62" t="str">
            <v>[]</v>
          </cell>
          <cell r="F62" t="str">
            <v>[]</v>
          </cell>
          <cell r="G62" t="str">
            <v>[]</v>
          </cell>
          <cell r="H62" t="str">
            <v>[]</v>
          </cell>
          <cell r="I62" t="str">
            <v>7216</v>
          </cell>
          <cell r="J62" t="str">
            <v>生命+16%</v>
          </cell>
        </row>
        <row r="63">
          <cell r="A63">
            <v>11040</v>
          </cell>
          <cell r="B63" t="str">
            <v>乖巧可爱</v>
          </cell>
          <cell r="C63" t="str">
            <v>1112,1208</v>
          </cell>
          <cell r="D63" t="str">
            <v>head_niumowang,head_caidiexiantong</v>
          </cell>
          <cell r="E63" t="str">
            <v>[]</v>
          </cell>
          <cell r="F63" t="str">
            <v>[]</v>
          </cell>
          <cell r="G63" t="str">
            <v>[]</v>
          </cell>
          <cell r="H63" t="str">
            <v>[]</v>
          </cell>
          <cell r="I63" t="str">
            <v>7816,7916</v>
          </cell>
          <cell r="J63" t="str">
            <v>防御+16%</v>
          </cell>
        </row>
        <row r="64">
          <cell r="A64">
            <v>11041</v>
          </cell>
          <cell r="B64" t="str">
            <v>绝色罗刹</v>
          </cell>
          <cell r="C64" t="str">
            <v>1111,1114</v>
          </cell>
          <cell r="D64" t="str">
            <v>head_tieshangongzhu,head_lulidaxian</v>
          </cell>
          <cell r="E64" t="str">
            <v>[]</v>
          </cell>
          <cell r="F64" t="str">
            <v>[]</v>
          </cell>
          <cell r="G64" t="str">
            <v>[]</v>
          </cell>
          <cell r="H64" t="str">
            <v>[]</v>
          </cell>
          <cell r="I64" t="str">
            <v>7816,7916</v>
          </cell>
          <cell r="J64" t="str">
            <v>防御+16%</v>
          </cell>
        </row>
        <row r="65">
          <cell r="A65">
            <v>11042</v>
          </cell>
          <cell r="B65" t="str">
            <v>绝代妖娆</v>
          </cell>
          <cell r="C65" t="str">
            <v>1131,1137</v>
          </cell>
          <cell r="D65" t="str">
            <v>head_xiezijing,head_zhizhujing</v>
          </cell>
          <cell r="E65" t="str">
            <v>[]</v>
          </cell>
          <cell r="F65" t="str">
            <v>[]</v>
          </cell>
          <cell r="G65" t="str">
            <v>[]</v>
          </cell>
          <cell r="H65" t="str">
            <v>[]</v>
          </cell>
          <cell r="I65" t="str">
            <v>7216</v>
          </cell>
          <cell r="J65" t="str">
            <v>生命+16%</v>
          </cell>
        </row>
        <row r="66">
          <cell r="A66">
            <v>11043</v>
          </cell>
          <cell r="B66" t="str">
            <v>绝色妖王</v>
          </cell>
          <cell r="C66" t="str">
            <v>1115,1116</v>
          </cell>
          <cell r="D66" t="str">
            <v>head_yanglidaxian,head_baigufuren</v>
          </cell>
          <cell r="E66" t="str">
            <v>[]</v>
          </cell>
          <cell r="F66" t="str">
            <v>[]</v>
          </cell>
          <cell r="G66" t="str">
            <v>[]</v>
          </cell>
          <cell r="H66" t="str">
            <v>[]</v>
          </cell>
          <cell r="I66" t="str">
            <v>7320</v>
          </cell>
          <cell r="J66" t="str">
            <v>攻击+20%</v>
          </cell>
        </row>
        <row r="67">
          <cell r="A67">
            <v>11044</v>
          </cell>
          <cell r="B67" t="str">
            <v>东海之宴</v>
          </cell>
          <cell r="C67" t="str">
            <v>1139,1140,1138</v>
          </cell>
          <cell r="D67" t="str">
            <v>head_jinqianbaowang,head_moyujing,head_yumianfuren</v>
          </cell>
          <cell r="E67" t="str">
            <v>[]</v>
          </cell>
          <cell r="F67" t="str">
            <v>[]</v>
          </cell>
          <cell r="G67" t="str">
            <v>[]</v>
          </cell>
          <cell r="H67" t="str">
            <v>[]</v>
          </cell>
          <cell r="I67" t="str">
            <v>7220,7320</v>
          </cell>
          <cell r="J67" t="str">
            <v>生命，攻击+20%</v>
          </cell>
        </row>
        <row r="68">
          <cell r="A68">
            <v>11045</v>
          </cell>
          <cell r="B68" t="str">
            <v>可爱至上</v>
          </cell>
          <cell r="C68" t="str">
            <v>1226,1141,1504</v>
          </cell>
          <cell r="D68" t="str">
            <v>head_shanzijing,head_yutu,head_xiejiang</v>
          </cell>
          <cell r="E68" t="str">
            <v>[]</v>
          </cell>
          <cell r="F68" t="str">
            <v>[]</v>
          </cell>
          <cell r="G68" t="str">
            <v>[]</v>
          </cell>
          <cell r="H68" t="str">
            <v>[]</v>
          </cell>
          <cell r="I68" t="str">
            <v>7220,7320</v>
          </cell>
          <cell r="J68" t="str">
            <v>生命，攻击+20%</v>
          </cell>
        </row>
        <row r="69">
          <cell r="A69">
            <v>11046</v>
          </cell>
          <cell r="B69" t="str">
            <v>夺命罗刹</v>
          </cell>
          <cell r="C69" t="str">
            <v>1138,1226,1141</v>
          </cell>
          <cell r="D69" t="str">
            <v>head_yumianfuren,head_shanzijing,head_yutu</v>
          </cell>
          <cell r="E69" t="str">
            <v>[]</v>
          </cell>
          <cell r="F69" t="str">
            <v>[]</v>
          </cell>
          <cell r="G69" t="str">
            <v>[]</v>
          </cell>
          <cell r="H69" t="str">
            <v>[]</v>
          </cell>
          <cell r="I69" t="str">
            <v>7220,7820,7920</v>
          </cell>
          <cell r="J69" t="str">
            <v>生命，防御+20%</v>
          </cell>
        </row>
        <row r="70">
          <cell r="A70">
            <v>11047</v>
          </cell>
          <cell r="B70" t="str">
            <v>婀娜多姿</v>
          </cell>
          <cell r="C70" t="str">
            <v>1504,1139,1140</v>
          </cell>
          <cell r="D70" t="str">
            <v>head_xiejiang,head_jinqianbaowang,head_moyujing</v>
          </cell>
          <cell r="E70" t="str">
            <v>[]</v>
          </cell>
          <cell r="F70" t="str">
            <v>[]</v>
          </cell>
          <cell r="G70" t="str">
            <v>[]</v>
          </cell>
          <cell r="H70" t="str">
            <v>[]</v>
          </cell>
          <cell r="I70" t="str">
            <v>7220,7820,7920</v>
          </cell>
          <cell r="J70" t="str">
            <v>生命，防御+20%</v>
          </cell>
        </row>
        <row r="71">
          <cell r="A71">
            <v>11048</v>
          </cell>
          <cell r="B71" t="str">
            <v>天真烂漫</v>
          </cell>
          <cell r="C71" t="str">
            <v>1504,1139</v>
          </cell>
          <cell r="D71" t="str">
            <v>head_xiejiang,head_jinqianbaowang</v>
          </cell>
          <cell r="E71" t="str">
            <v>[]</v>
          </cell>
          <cell r="F71" t="str">
            <v>[]</v>
          </cell>
          <cell r="G71" t="str">
            <v>[]</v>
          </cell>
          <cell r="H71" t="str">
            <v>[]</v>
          </cell>
          <cell r="I71" t="str">
            <v>7316</v>
          </cell>
          <cell r="J71" t="str">
            <v>攻击+16%</v>
          </cell>
        </row>
        <row r="72">
          <cell r="A72">
            <v>11049</v>
          </cell>
          <cell r="B72" t="str">
            <v>蛇蝎美人</v>
          </cell>
          <cell r="C72" t="str">
            <v>1226,1140</v>
          </cell>
          <cell r="D72" t="str">
            <v>head_shanzijing,head_moyujing</v>
          </cell>
          <cell r="E72" t="str">
            <v>[]</v>
          </cell>
          <cell r="F72" t="str">
            <v>[]</v>
          </cell>
          <cell r="G72" t="str">
            <v>[]</v>
          </cell>
          <cell r="H72" t="str">
            <v>[]</v>
          </cell>
          <cell r="I72" t="str">
            <v>7316</v>
          </cell>
          <cell r="J72" t="str">
            <v>攻击+16%</v>
          </cell>
        </row>
        <row r="73">
          <cell r="A73">
            <v>11050</v>
          </cell>
          <cell r="B73" t="str">
            <v>心狠手辣</v>
          </cell>
          <cell r="C73" t="str">
            <v>1140,1504</v>
          </cell>
          <cell r="D73" t="str">
            <v>head_moyujing,head_xiejiang</v>
          </cell>
          <cell r="E73" t="str">
            <v>[]</v>
          </cell>
          <cell r="F73" t="str">
            <v>[]</v>
          </cell>
          <cell r="G73" t="str">
            <v>[]</v>
          </cell>
          <cell r="H73" t="str">
            <v>[]</v>
          </cell>
          <cell r="I73" t="str">
            <v>7816,7916</v>
          </cell>
          <cell r="J73" t="str">
            <v>防御+16%</v>
          </cell>
        </row>
        <row r="74">
          <cell r="A74">
            <v>11051</v>
          </cell>
          <cell r="B74" t="str">
            <v>冰肌玉肤</v>
          </cell>
          <cell r="C74" t="str">
            <v>1138,1141</v>
          </cell>
          <cell r="D74" t="str">
            <v>head_yumianfuren,head_yutu</v>
          </cell>
          <cell r="E74" t="str">
            <v>[]</v>
          </cell>
          <cell r="F74" t="str">
            <v>[]</v>
          </cell>
          <cell r="G74" t="str">
            <v>[]</v>
          </cell>
          <cell r="H74" t="str">
            <v>[]</v>
          </cell>
          <cell r="I74" t="str">
            <v>7316</v>
          </cell>
          <cell r="J74" t="str">
            <v>攻击+16%</v>
          </cell>
        </row>
        <row r="75">
          <cell r="A75">
            <v>11052</v>
          </cell>
          <cell r="B75" t="str">
            <v>秘友之邀</v>
          </cell>
          <cell r="C75" t="str">
            <v>1139,1138</v>
          </cell>
          <cell r="D75" t="str">
            <v>head_jinqianbaowang,head_yumianfuren</v>
          </cell>
          <cell r="E75" t="str">
            <v>[]</v>
          </cell>
          <cell r="F75" t="str">
            <v>[]</v>
          </cell>
          <cell r="G75" t="str">
            <v>[]</v>
          </cell>
          <cell r="H75" t="str">
            <v>[]</v>
          </cell>
          <cell r="I75" t="str">
            <v>7816,7916</v>
          </cell>
          <cell r="J75" t="str">
            <v>防御+16%</v>
          </cell>
        </row>
        <row r="76">
          <cell r="A76">
            <v>11053</v>
          </cell>
          <cell r="B76" t="str">
            <v>妩媚多情</v>
          </cell>
          <cell r="C76" t="str">
            <v>1141,1226</v>
          </cell>
          <cell r="D76" t="str">
            <v>head_yutu,head_shanzijing</v>
          </cell>
          <cell r="E76" t="str">
            <v>[]</v>
          </cell>
          <cell r="F76" t="str">
            <v>[]</v>
          </cell>
          <cell r="G76" t="str">
            <v>[]</v>
          </cell>
          <cell r="H76" t="str">
            <v>[]</v>
          </cell>
          <cell r="I76" t="str">
            <v>7816,7916</v>
          </cell>
          <cell r="J76" t="str">
            <v>防御+16%</v>
          </cell>
        </row>
        <row r="77">
          <cell r="A77">
            <v>11111</v>
          </cell>
          <cell r="B77" t="str">
            <v>神威万古</v>
          </cell>
          <cell r="C77" t="str">
            <v>1101,1105,1219,1109</v>
          </cell>
          <cell r="D77" t="str">
            <v>head_erlangshen,head_wangmuniangniang,head_heiwuchang,head_jiutianxuannv</v>
          </cell>
          <cell r="E77" t="str">
            <v>[]</v>
          </cell>
          <cell r="F77" t="str">
            <v>[]</v>
          </cell>
          <cell r="G77" t="str">
            <v>[]</v>
          </cell>
          <cell r="H77" t="str">
            <v>[]</v>
          </cell>
          <cell r="I77" t="str">
            <v>7230,7330</v>
          </cell>
          <cell r="J77" t="str">
            <v>生命，攻击+30%</v>
          </cell>
        </row>
        <row r="78">
          <cell r="A78">
            <v>11112</v>
          </cell>
          <cell r="B78" t="str">
            <v>法力无边</v>
          </cell>
          <cell r="C78" t="str">
            <v>1102,1218,1108,1103</v>
          </cell>
          <cell r="D78" t="str">
            <v>head_nezha,head_baiwuchang,head_tuotatianwang,head_change</v>
          </cell>
          <cell r="E78" t="str">
            <v>[]</v>
          </cell>
          <cell r="F78" t="str">
            <v>[]</v>
          </cell>
          <cell r="G78" t="str">
            <v>[]</v>
          </cell>
          <cell r="H78" t="str">
            <v>[]</v>
          </cell>
          <cell r="I78" t="str">
            <v>7230,7330</v>
          </cell>
          <cell r="J78" t="str">
            <v>生命，攻击+30%</v>
          </cell>
        </row>
        <row r="79">
          <cell r="A79">
            <v>11113</v>
          </cell>
          <cell r="B79" t="str">
            <v>神通广大</v>
          </cell>
          <cell r="C79" t="str">
            <v>1101,1105,1108</v>
          </cell>
          <cell r="D79" t="str">
            <v>head_erlangshen,head_wangmuniangniang,head_tuotatianwang</v>
          </cell>
          <cell r="E79" t="str">
            <v>[]</v>
          </cell>
          <cell r="F79" t="str">
            <v>[]</v>
          </cell>
          <cell r="G79" t="str">
            <v>[]</v>
          </cell>
          <cell r="H79" t="str">
            <v>[]</v>
          </cell>
          <cell r="I79" t="str">
            <v>7224,7324</v>
          </cell>
          <cell r="J79" t="str">
            <v>生命，攻击+24%</v>
          </cell>
        </row>
        <row r="80">
          <cell r="A80">
            <v>11114</v>
          </cell>
          <cell r="B80" t="str">
            <v>仙府栋梁</v>
          </cell>
          <cell r="C80" t="str">
            <v>1102,1218,1219</v>
          </cell>
          <cell r="D80" t="str">
            <v>head_nezha,head_baiwuchang,head_heiwuchang</v>
          </cell>
          <cell r="E80" t="str">
            <v>[]</v>
          </cell>
          <cell r="F80" t="str">
            <v>[]</v>
          </cell>
          <cell r="G80" t="str">
            <v>[]</v>
          </cell>
          <cell r="H80" t="str">
            <v>[]</v>
          </cell>
          <cell r="I80" t="str">
            <v>7224,7324</v>
          </cell>
          <cell r="J80" t="str">
            <v>生命，攻击+24%</v>
          </cell>
        </row>
        <row r="81">
          <cell r="A81">
            <v>11115</v>
          </cell>
          <cell r="B81" t="str">
            <v>仙府重臣</v>
          </cell>
          <cell r="C81" t="str">
            <v>1108,1109,1103</v>
          </cell>
          <cell r="D81" t="str">
            <v>head_tuotatianwang,head_jiutianxuannv,head_change</v>
          </cell>
          <cell r="E81" t="str">
            <v>[]</v>
          </cell>
          <cell r="F81" t="str">
            <v>[]</v>
          </cell>
          <cell r="G81" t="str">
            <v>[]</v>
          </cell>
          <cell r="H81" t="str">
            <v>[]</v>
          </cell>
          <cell r="I81" t="str">
            <v>7220,7820,7920</v>
          </cell>
          <cell r="J81" t="str">
            <v>生命，防御+20%</v>
          </cell>
        </row>
        <row r="82">
          <cell r="A82">
            <v>11116</v>
          </cell>
          <cell r="B82" t="str">
            <v>绝色天仙</v>
          </cell>
          <cell r="C82" t="str">
            <v>1219,1109,1103</v>
          </cell>
          <cell r="D82" t="str">
            <v>head_heiwuchang,head_jiutianxuannv,head_change</v>
          </cell>
          <cell r="E82" t="str">
            <v>[]</v>
          </cell>
          <cell r="F82" t="str">
            <v>[]</v>
          </cell>
          <cell r="G82" t="str">
            <v>[]</v>
          </cell>
          <cell r="H82" t="str">
            <v>[]</v>
          </cell>
          <cell r="I82" t="str">
            <v>7220,7820,7920</v>
          </cell>
          <cell r="J82" t="str">
            <v>生命，防御+20%</v>
          </cell>
        </row>
        <row r="83">
          <cell r="A83">
            <v>11117</v>
          </cell>
          <cell r="B83" t="str">
            <v>天庭君臣</v>
          </cell>
          <cell r="C83" t="str">
            <v>1107,1135,1106</v>
          </cell>
          <cell r="D83" t="str">
            <v>head_chijiaodaxian,head_donghailongwang,head_taibaijinxing</v>
          </cell>
          <cell r="E83" t="str">
            <v>[]</v>
          </cell>
          <cell r="F83" t="str">
            <v>[]</v>
          </cell>
          <cell r="G83" t="str">
            <v>[]</v>
          </cell>
          <cell r="H83" t="str">
            <v>[]</v>
          </cell>
          <cell r="I83" t="str">
            <v>7220,7820,7920</v>
          </cell>
          <cell r="J83" t="str">
            <v>生命，防御+20%</v>
          </cell>
        </row>
        <row r="84">
          <cell r="A84">
            <v>11118</v>
          </cell>
          <cell r="B84" t="str">
            <v>股肱之臣</v>
          </cell>
          <cell r="C84" t="str">
            <v>1104,1135,1106</v>
          </cell>
          <cell r="D84" t="str">
            <v>head_yuhuangdadi,head_donghailongwang,head_taibaijinxing</v>
          </cell>
          <cell r="E84" t="str">
            <v>[]</v>
          </cell>
          <cell r="F84" t="str">
            <v>[]</v>
          </cell>
          <cell r="G84" t="str">
            <v>[]</v>
          </cell>
          <cell r="H84" t="str">
            <v>[]</v>
          </cell>
          <cell r="I84" t="str">
            <v>7220,7320</v>
          </cell>
          <cell r="J84" t="str">
            <v>生命，攻击+20%</v>
          </cell>
        </row>
        <row r="85">
          <cell r="A85">
            <v>11119</v>
          </cell>
          <cell r="B85" t="str">
            <v>仙家威严</v>
          </cell>
          <cell r="C85" t="str">
            <v>1201,1123,1104</v>
          </cell>
          <cell r="D85" t="str">
            <v>head_yanluowang,head_xiaobailong,head_yuhuangdadi</v>
          </cell>
          <cell r="E85" t="str">
            <v>[]</v>
          </cell>
          <cell r="F85" t="str">
            <v>[]</v>
          </cell>
          <cell r="G85" t="str">
            <v>[]</v>
          </cell>
          <cell r="H85" t="str">
            <v>[]</v>
          </cell>
          <cell r="I85" t="str">
            <v>7220,7820,7920</v>
          </cell>
          <cell r="J85" t="str">
            <v>生命，防御+20%</v>
          </cell>
        </row>
        <row r="86">
          <cell r="A86">
            <v>11120</v>
          </cell>
          <cell r="B86" t="str">
            <v>道法无边</v>
          </cell>
          <cell r="C86" t="str">
            <v>1107,1201,1123</v>
          </cell>
          <cell r="D86" t="str">
            <v>head_chijiaodaxian,head_yanluowang,head_xiaobailong</v>
          </cell>
          <cell r="E86" t="str">
            <v>[]</v>
          </cell>
          <cell r="F86" t="str">
            <v>[]</v>
          </cell>
          <cell r="G86" t="str">
            <v>[]</v>
          </cell>
          <cell r="H86" t="str">
            <v>[]</v>
          </cell>
          <cell r="I86" t="str">
            <v>7220,7320</v>
          </cell>
          <cell r="J86" t="str">
            <v>生命，攻击+20%</v>
          </cell>
        </row>
        <row r="87">
          <cell r="A87">
            <v>11121</v>
          </cell>
          <cell r="B87" t="str">
            <v>天造地设</v>
          </cell>
          <cell r="C87" t="str">
            <v>1101,1109</v>
          </cell>
          <cell r="D87" t="str">
            <v>head_erlangshen,head_jiutianxuannv</v>
          </cell>
          <cell r="E87" t="str">
            <v>[]</v>
          </cell>
          <cell r="F87" t="str">
            <v>[]</v>
          </cell>
          <cell r="G87" t="str">
            <v>[]</v>
          </cell>
          <cell r="H87" t="str">
            <v>[]</v>
          </cell>
          <cell r="I87" t="str">
            <v>7820,7920</v>
          </cell>
          <cell r="J87" t="str">
            <v>防御+20%</v>
          </cell>
        </row>
        <row r="88">
          <cell r="A88">
            <v>11122</v>
          </cell>
          <cell r="B88" t="str">
            <v>仙姿玉色</v>
          </cell>
          <cell r="C88" t="str">
            <v>1105,1109</v>
          </cell>
          <cell r="D88" t="str">
            <v>head_wangmuniangniang,head_jiutianxuannv</v>
          </cell>
          <cell r="E88" t="str">
            <v>[]</v>
          </cell>
          <cell r="F88" t="str">
            <v>[]</v>
          </cell>
          <cell r="G88" t="str">
            <v>[]</v>
          </cell>
          <cell r="H88" t="str">
            <v>[]</v>
          </cell>
          <cell r="I88" t="str">
            <v>7820,7920</v>
          </cell>
          <cell r="J88" t="str">
            <v>防御+20%</v>
          </cell>
        </row>
        <row r="89">
          <cell r="A89">
            <v>11123</v>
          </cell>
          <cell r="B89" t="str">
            <v>天仙传奇</v>
          </cell>
          <cell r="C89" t="str">
            <v>1102,1103</v>
          </cell>
          <cell r="D89" t="str">
            <v>head_nezha,head_change</v>
          </cell>
          <cell r="E89" t="str">
            <v>[]</v>
          </cell>
          <cell r="F89" t="str">
            <v>[]</v>
          </cell>
          <cell r="G89" t="str">
            <v>[]</v>
          </cell>
          <cell r="H89" t="str">
            <v>[]</v>
          </cell>
          <cell r="I89" t="str">
            <v>7820,7920</v>
          </cell>
          <cell r="J89" t="str">
            <v>防御+20%</v>
          </cell>
        </row>
        <row r="90">
          <cell r="A90">
            <v>11124</v>
          </cell>
          <cell r="B90" t="str">
            <v>绝代风华</v>
          </cell>
          <cell r="C90" t="str">
            <v>1218,1103</v>
          </cell>
          <cell r="D90" t="str">
            <v>head_baiwuchang,head_change</v>
          </cell>
          <cell r="E90" t="str">
            <v>[]</v>
          </cell>
          <cell r="F90" t="str">
            <v>[]</v>
          </cell>
          <cell r="G90" t="str">
            <v>[]</v>
          </cell>
          <cell r="H90" t="str">
            <v>[]</v>
          </cell>
          <cell r="I90" t="str">
            <v>7820,7920</v>
          </cell>
          <cell r="J90" t="str">
            <v>防御+20%</v>
          </cell>
        </row>
        <row r="91">
          <cell r="A91">
            <v>11125</v>
          </cell>
          <cell r="B91" t="str">
            <v>忠于职守</v>
          </cell>
          <cell r="C91" t="str">
            <v>1108,1107</v>
          </cell>
          <cell r="D91" t="str">
            <v>head_tuotatianwang,head_chijiaodaxian</v>
          </cell>
          <cell r="E91" t="str">
            <v>[]</v>
          </cell>
          <cell r="F91" t="str">
            <v>[]</v>
          </cell>
          <cell r="G91" t="str">
            <v>[]</v>
          </cell>
          <cell r="H91" t="str">
            <v>[]</v>
          </cell>
          <cell r="I91" t="str">
            <v>7816,7916</v>
          </cell>
          <cell r="J91" t="str">
            <v>防御+16%</v>
          </cell>
        </row>
        <row r="92">
          <cell r="A92">
            <v>11126</v>
          </cell>
          <cell r="B92" t="str">
            <v>战神无敌</v>
          </cell>
          <cell r="C92" t="str">
            <v>1219,1107</v>
          </cell>
          <cell r="D92" t="str">
            <v>head_heiwuchang,head_chijiaodaxian</v>
          </cell>
          <cell r="E92" t="str">
            <v>[]</v>
          </cell>
          <cell r="F92" t="str">
            <v>[]</v>
          </cell>
          <cell r="G92" t="str">
            <v>[]</v>
          </cell>
          <cell r="H92" t="str">
            <v>[]</v>
          </cell>
          <cell r="I92" t="str">
            <v>7316</v>
          </cell>
          <cell r="J92" t="str">
            <v>攻击+16%</v>
          </cell>
        </row>
        <row r="93">
          <cell r="A93">
            <v>11127</v>
          </cell>
          <cell r="B93" t="str">
            <v>地海之源</v>
          </cell>
          <cell r="C93" t="str">
            <v>1108,1135</v>
          </cell>
          <cell r="D93" t="str">
            <v>head_tuotatianwang,head_donghailongwang</v>
          </cell>
          <cell r="E93" t="str">
            <v>[]</v>
          </cell>
          <cell r="F93" t="str">
            <v>[]</v>
          </cell>
          <cell r="G93" t="str">
            <v>[]</v>
          </cell>
          <cell r="H93" t="str">
            <v>[]</v>
          </cell>
          <cell r="I93" t="str">
            <v>7316</v>
          </cell>
          <cell r="J93" t="str">
            <v>攻击+16%</v>
          </cell>
        </row>
        <row r="94">
          <cell r="A94">
            <v>11128</v>
          </cell>
          <cell r="B94" t="str">
            <v>上天入海</v>
          </cell>
          <cell r="C94" t="str">
            <v>1219,1135</v>
          </cell>
          <cell r="D94" t="str">
            <v>head_heiwuchang,head_donghailongwang</v>
          </cell>
          <cell r="E94" t="str">
            <v>[]</v>
          </cell>
          <cell r="F94" t="str">
            <v>[]</v>
          </cell>
          <cell r="G94" t="str">
            <v>[]</v>
          </cell>
          <cell r="H94" t="str">
            <v>[]</v>
          </cell>
          <cell r="I94" t="str">
            <v>7816,7916</v>
          </cell>
          <cell r="J94" t="str">
            <v>防御+16%</v>
          </cell>
        </row>
        <row r="95">
          <cell r="A95">
            <v>11129</v>
          </cell>
          <cell r="B95" t="str">
            <v>斩妖除魔</v>
          </cell>
          <cell r="C95" t="str">
            <v>1108,1219</v>
          </cell>
          <cell r="D95" t="str">
            <v>head_tuotatianwang,head_heiwuchang</v>
          </cell>
          <cell r="E95" t="str">
            <v>[]</v>
          </cell>
          <cell r="F95" t="str">
            <v>[]</v>
          </cell>
          <cell r="G95" t="str">
            <v>[]</v>
          </cell>
          <cell r="H95" t="str">
            <v>[]</v>
          </cell>
          <cell r="I95" t="str">
            <v>7820,7920</v>
          </cell>
          <cell r="J95" t="str">
            <v>防御+20%</v>
          </cell>
        </row>
        <row r="96">
          <cell r="A96">
            <v>11130</v>
          </cell>
          <cell r="B96" t="str">
            <v>灵霄守卫</v>
          </cell>
          <cell r="C96" t="str">
            <v>1101,1104</v>
          </cell>
          <cell r="D96" t="str">
            <v>head_erlangshen,head_yuhuangdadi</v>
          </cell>
          <cell r="E96" t="str">
            <v>[]</v>
          </cell>
          <cell r="F96" t="str">
            <v>[]</v>
          </cell>
          <cell r="G96" t="str">
            <v>[]</v>
          </cell>
          <cell r="H96" t="str">
            <v>[]</v>
          </cell>
          <cell r="I96" t="str">
            <v>7316</v>
          </cell>
          <cell r="J96" t="str">
            <v>攻击+16%</v>
          </cell>
        </row>
        <row r="97">
          <cell r="A97">
            <v>11131</v>
          </cell>
          <cell r="B97" t="str">
            <v>各显神通</v>
          </cell>
          <cell r="C97" t="str">
            <v>1102,1104</v>
          </cell>
          <cell r="D97" t="str">
            <v>head_nezha,head_yuhuangdadi</v>
          </cell>
          <cell r="E97" t="str">
            <v>[]</v>
          </cell>
          <cell r="F97" t="str">
            <v>[]</v>
          </cell>
          <cell r="G97" t="str">
            <v>[]</v>
          </cell>
          <cell r="H97" t="str">
            <v>[]</v>
          </cell>
          <cell r="I97" t="str">
            <v>7216</v>
          </cell>
          <cell r="J97" t="str">
            <v>生命+16%</v>
          </cell>
        </row>
        <row r="98">
          <cell r="A98">
            <v>11132</v>
          </cell>
          <cell r="B98" t="str">
            <v>瑶池赴宴</v>
          </cell>
          <cell r="C98" t="str">
            <v>1105,1201</v>
          </cell>
          <cell r="D98" t="str">
            <v>head_wangmuniangniang,head_yanluowang</v>
          </cell>
          <cell r="E98" t="str">
            <v>[]</v>
          </cell>
          <cell r="F98" t="str">
            <v>[]</v>
          </cell>
          <cell r="G98" t="str">
            <v>[]</v>
          </cell>
          <cell r="H98" t="str">
            <v>[]</v>
          </cell>
          <cell r="I98" t="str">
            <v>7816,7916</v>
          </cell>
          <cell r="J98" t="str">
            <v>防御+16%</v>
          </cell>
        </row>
        <row r="99">
          <cell r="A99">
            <v>11133</v>
          </cell>
          <cell r="B99" t="str">
            <v>情投意合</v>
          </cell>
          <cell r="C99" t="str">
            <v>1218,1201</v>
          </cell>
          <cell r="D99" t="str">
            <v>head_baiwuchang,head_yanluowang</v>
          </cell>
          <cell r="E99" t="str">
            <v>[]</v>
          </cell>
          <cell r="F99" t="str">
            <v>[]</v>
          </cell>
          <cell r="G99" t="str">
            <v>[]</v>
          </cell>
          <cell r="H99" t="str">
            <v>[]</v>
          </cell>
          <cell r="I99" t="str">
            <v>7316</v>
          </cell>
          <cell r="J99" t="str">
            <v>攻击+16%</v>
          </cell>
        </row>
        <row r="100">
          <cell r="A100">
            <v>11134</v>
          </cell>
          <cell r="B100" t="str">
            <v>天将地仙</v>
          </cell>
          <cell r="C100" t="str">
            <v>1101,1123</v>
          </cell>
          <cell r="D100" t="str">
            <v>head_erlangshen,head_xiaobailong</v>
          </cell>
          <cell r="E100" t="str">
            <v>[]</v>
          </cell>
          <cell r="F100" t="str">
            <v>[]</v>
          </cell>
          <cell r="G100" t="str">
            <v>[]</v>
          </cell>
          <cell r="H100" t="str">
            <v>[]</v>
          </cell>
          <cell r="I100" t="str">
            <v>7816,7916</v>
          </cell>
          <cell r="J100" t="str">
            <v>防御+16%</v>
          </cell>
        </row>
        <row r="101">
          <cell r="A101">
            <v>11135</v>
          </cell>
          <cell r="B101" t="str">
            <v>铁面无私</v>
          </cell>
          <cell r="C101" t="str">
            <v>1102,1123</v>
          </cell>
          <cell r="D101" t="str">
            <v>head_nezha,head_xiaobailong</v>
          </cell>
          <cell r="E101" t="str">
            <v>[]</v>
          </cell>
          <cell r="F101" t="str">
            <v>[]</v>
          </cell>
          <cell r="G101" t="str">
            <v>[]</v>
          </cell>
          <cell r="H101" t="str">
            <v>[]</v>
          </cell>
          <cell r="I101" t="str">
            <v>7316</v>
          </cell>
          <cell r="J101" t="str">
            <v>攻击+16%</v>
          </cell>
        </row>
        <row r="102">
          <cell r="A102">
            <v>11136</v>
          </cell>
          <cell r="B102" t="str">
            <v>心腹重臣</v>
          </cell>
          <cell r="C102" t="str">
            <v>1105,1106</v>
          </cell>
          <cell r="D102" t="str">
            <v>head_wangmuniangniang,head_taibaijinxing</v>
          </cell>
          <cell r="E102" t="str">
            <v>[]</v>
          </cell>
          <cell r="F102" t="str">
            <v>[]</v>
          </cell>
          <cell r="G102" t="str">
            <v>[]</v>
          </cell>
          <cell r="H102" t="str">
            <v>[]</v>
          </cell>
          <cell r="I102" t="str">
            <v>7316</v>
          </cell>
          <cell r="J102" t="str">
            <v>攻击+16%</v>
          </cell>
        </row>
        <row r="103">
          <cell r="A103">
            <v>11137</v>
          </cell>
          <cell r="B103" t="str">
            <v>睚眦必报</v>
          </cell>
          <cell r="C103" t="str">
            <v>1218,1106</v>
          </cell>
          <cell r="D103" t="str">
            <v>head_baiwuchang,head_taibaijinxing</v>
          </cell>
          <cell r="E103" t="str">
            <v>[]</v>
          </cell>
          <cell r="F103" t="str">
            <v>[]</v>
          </cell>
          <cell r="G103" t="str">
            <v>[]</v>
          </cell>
          <cell r="H103" t="str">
            <v>[]</v>
          </cell>
          <cell r="I103" t="str">
            <v>7216</v>
          </cell>
          <cell r="J103" t="str">
            <v>生命+16%</v>
          </cell>
        </row>
        <row r="104">
          <cell r="A104">
            <v>11138</v>
          </cell>
          <cell r="B104" t="str">
            <v>天庭舅甥</v>
          </cell>
          <cell r="C104" t="str">
            <v>1101,1107</v>
          </cell>
          <cell r="D104" t="str">
            <v>head_erlangshen,head_chijiaodaxian</v>
          </cell>
          <cell r="E104" t="str">
            <v>[]</v>
          </cell>
          <cell r="F104" t="str">
            <v>[]</v>
          </cell>
          <cell r="G104" t="str">
            <v>[]</v>
          </cell>
          <cell r="H104" t="str">
            <v>[]</v>
          </cell>
          <cell r="I104" t="str">
            <v>7216</v>
          </cell>
          <cell r="J104" t="str">
            <v>生命+16%</v>
          </cell>
        </row>
        <row r="105">
          <cell r="A105">
            <v>11139</v>
          </cell>
          <cell r="B105" t="str">
            <v>瑶池之宴</v>
          </cell>
          <cell r="C105" t="str">
            <v>1105,1135</v>
          </cell>
          <cell r="D105" t="str">
            <v>head_wangmuniangniang,head_donghailongwang</v>
          </cell>
          <cell r="E105" t="str">
            <v>[]</v>
          </cell>
          <cell r="F105" t="str">
            <v>[]</v>
          </cell>
          <cell r="G105" t="str">
            <v>[]</v>
          </cell>
          <cell r="H105" t="str">
            <v>[]</v>
          </cell>
          <cell r="I105" t="str">
            <v>7216</v>
          </cell>
          <cell r="J105" t="str">
            <v>生命+16%</v>
          </cell>
        </row>
        <row r="106">
          <cell r="A106">
            <v>11140</v>
          </cell>
          <cell r="B106" t="str">
            <v>玉帝近臣</v>
          </cell>
          <cell r="C106" t="str">
            <v>1102,1106</v>
          </cell>
          <cell r="D106" t="str">
            <v>head_nezha,head_taibaijinxing</v>
          </cell>
          <cell r="E106" t="str">
            <v>[]</v>
          </cell>
          <cell r="F106" t="str">
            <v>[]</v>
          </cell>
          <cell r="G106" t="str">
            <v>[]</v>
          </cell>
          <cell r="H106" t="str">
            <v>[]</v>
          </cell>
          <cell r="I106" t="str">
            <v>7816,7916</v>
          </cell>
          <cell r="J106" t="str">
            <v>防御+16%</v>
          </cell>
        </row>
        <row r="107">
          <cell r="A107">
            <v>11141</v>
          </cell>
          <cell r="B107" t="str">
            <v>萍水相逢</v>
          </cell>
          <cell r="C107" t="str">
            <v>1218,1104</v>
          </cell>
          <cell r="D107" t="str">
            <v>head_baiwuchang,head_yuhuangdadi</v>
          </cell>
          <cell r="E107" t="str">
            <v>[]</v>
          </cell>
          <cell r="F107" t="str">
            <v>[]</v>
          </cell>
          <cell r="G107" t="str">
            <v>[]</v>
          </cell>
          <cell r="H107" t="str">
            <v>[]</v>
          </cell>
          <cell r="I107" t="str">
            <v>7816,7916</v>
          </cell>
          <cell r="J107" t="str">
            <v>防御+16%</v>
          </cell>
        </row>
        <row r="108">
          <cell r="A108">
            <v>11142</v>
          </cell>
          <cell r="B108" t="str">
            <v>执掌生死</v>
          </cell>
          <cell r="C108" t="str">
            <v>1201,1123</v>
          </cell>
          <cell r="D108" t="str">
            <v>head_yanluowang,head_xiaobailong</v>
          </cell>
          <cell r="E108" t="str">
            <v>[]</v>
          </cell>
          <cell r="F108" t="str">
            <v>[]</v>
          </cell>
          <cell r="G108" t="str">
            <v>[]</v>
          </cell>
          <cell r="H108" t="str">
            <v>[]</v>
          </cell>
          <cell r="I108" t="str">
            <v>7216</v>
          </cell>
          <cell r="J108" t="str">
            <v>生命+16%</v>
          </cell>
        </row>
        <row r="109">
          <cell r="A109">
            <v>11143</v>
          </cell>
          <cell r="B109" t="str">
            <v>天宫倩影</v>
          </cell>
          <cell r="C109" t="str">
            <v>1103,1109</v>
          </cell>
          <cell r="D109" t="str">
            <v>head_change,head_jiutianxuannv</v>
          </cell>
          <cell r="E109" t="str">
            <v>[]</v>
          </cell>
          <cell r="F109" t="str">
            <v>[]</v>
          </cell>
          <cell r="G109" t="str">
            <v>[]</v>
          </cell>
          <cell r="H109" t="str">
            <v>[]</v>
          </cell>
          <cell r="I109" t="str">
            <v>7320</v>
          </cell>
          <cell r="J109" t="str">
            <v>攻击+20%</v>
          </cell>
        </row>
        <row r="110">
          <cell r="A110">
            <v>11144</v>
          </cell>
          <cell r="B110" t="str">
            <v>兄弟同心</v>
          </cell>
          <cell r="C110" t="str">
            <v>1134,1133,1203</v>
          </cell>
          <cell r="D110" t="str">
            <v>head_jinghelongwang,head_leigong,head_guishihei</v>
          </cell>
          <cell r="E110" t="str">
            <v>[]</v>
          </cell>
          <cell r="F110" t="str">
            <v>[]</v>
          </cell>
          <cell r="G110" t="str">
            <v>[]</v>
          </cell>
          <cell r="H110" t="str">
            <v>[]</v>
          </cell>
          <cell r="I110" t="str">
            <v>7220,7320</v>
          </cell>
          <cell r="J110" t="str">
            <v>生命，攻击+20%</v>
          </cell>
        </row>
        <row r="111">
          <cell r="A111">
            <v>11145</v>
          </cell>
          <cell r="B111" t="str">
            <v>雷霆万钧</v>
          </cell>
          <cell r="C111" t="str">
            <v>1204,1206,1205</v>
          </cell>
          <cell r="D111" t="str">
            <v>head_guishibai,head_niutou,head_mamian</v>
          </cell>
          <cell r="E111" t="str">
            <v>[]</v>
          </cell>
          <cell r="F111" t="str">
            <v>[]</v>
          </cell>
          <cell r="G111" t="str">
            <v>[]</v>
          </cell>
          <cell r="H111" t="str">
            <v>[]</v>
          </cell>
          <cell r="I111" t="str">
            <v>7220,7320</v>
          </cell>
          <cell r="J111" t="str">
            <v>生命，攻击+20%</v>
          </cell>
        </row>
        <row r="112">
          <cell r="A112">
            <v>11146</v>
          </cell>
          <cell r="B112" t="str">
            <v>铁面无私</v>
          </cell>
          <cell r="C112" t="str">
            <v>1203,1204,1206</v>
          </cell>
          <cell r="D112" t="str">
            <v>head_guishihei,head_guishibai,head_niutou</v>
          </cell>
          <cell r="E112" t="str">
            <v>[]</v>
          </cell>
          <cell r="F112" t="str">
            <v>[]</v>
          </cell>
          <cell r="G112" t="str">
            <v>[]</v>
          </cell>
          <cell r="H112" t="str">
            <v>[]</v>
          </cell>
          <cell r="I112" t="str">
            <v>7220,7820,7920</v>
          </cell>
          <cell r="J112" t="str">
            <v>生命，防御+20%</v>
          </cell>
        </row>
        <row r="113">
          <cell r="A113">
            <v>11147</v>
          </cell>
          <cell r="B113" t="str">
            <v>勾魂索命</v>
          </cell>
          <cell r="C113" t="str">
            <v>1205,1134,1133</v>
          </cell>
          <cell r="D113" t="str">
            <v>head_mamian,head_jinghelongwang,head_leigong</v>
          </cell>
          <cell r="E113" t="str">
            <v>[]</v>
          </cell>
          <cell r="F113" t="str">
            <v>[]</v>
          </cell>
          <cell r="G113" t="str">
            <v>[]</v>
          </cell>
          <cell r="H113" t="str">
            <v>[]</v>
          </cell>
          <cell r="I113" t="str">
            <v>7220,7820,7920</v>
          </cell>
          <cell r="J113" t="str">
            <v>生命，防御+20%</v>
          </cell>
        </row>
        <row r="114">
          <cell r="A114">
            <v>11148</v>
          </cell>
          <cell r="B114" t="str">
            <v>地府群仙</v>
          </cell>
          <cell r="C114" t="str">
            <v>1205,1134</v>
          </cell>
          <cell r="D114" t="str">
            <v>head_mamian,head_jinghelongwang</v>
          </cell>
          <cell r="E114" t="str">
            <v>[]</v>
          </cell>
          <cell r="F114" t="str">
            <v>[]</v>
          </cell>
          <cell r="G114" t="str">
            <v>[]</v>
          </cell>
          <cell r="H114" t="str">
            <v>[]</v>
          </cell>
          <cell r="I114" t="str">
            <v>7316</v>
          </cell>
          <cell r="J114" t="str">
            <v>攻击+16%</v>
          </cell>
        </row>
        <row r="115">
          <cell r="A115">
            <v>11149</v>
          </cell>
          <cell r="B115" t="str">
            <v>地府龙吟</v>
          </cell>
          <cell r="C115" t="str">
            <v>1204,1133</v>
          </cell>
          <cell r="D115" t="str">
            <v>head_guishibai,head_leigong</v>
          </cell>
          <cell r="E115" t="str">
            <v>[]</v>
          </cell>
          <cell r="F115" t="str">
            <v>[]</v>
          </cell>
          <cell r="G115" t="str">
            <v>[]</v>
          </cell>
          <cell r="H115" t="str">
            <v>[]</v>
          </cell>
          <cell r="I115" t="str">
            <v>7316</v>
          </cell>
          <cell r="J115" t="str">
            <v>攻击+16%</v>
          </cell>
        </row>
        <row r="116">
          <cell r="A116">
            <v>11150</v>
          </cell>
          <cell r="B116" t="str">
            <v>天庭雷劫</v>
          </cell>
          <cell r="C116" t="str">
            <v>1133,1205</v>
          </cell>
          <cell r="D116" t="str">
            <v>head_leigong,head_mamian</v>
          </cell>
          <cell r="E116" t="str">
            <v>[]</v>
          </cell>
          <cell r="F116" t="str">
            <v>[]</v>
          </cell>
          <cell r="G116" t="str">
            <v>[]</v>
          </cell>
          <cell r="H116" t="str">
            <v>[]</v>
          </cell>
          <cell r="I116" t="str">
            <v>7816,7916</v>
          </cell>
          <cell r="J116" t="str">
            <v>防御+16%</v>
          </cell>
        </row>
        <row r="117">
          <cell r="A117">
            <v>11151</v>
          </cell>
          <cell r="B117" t="str">
            <v>鬼使巡差</v>
          </cell>
          <cell r="C117" t="str">
            <v>1203,1206</v>
          </cell>
          <cell r="D117" t="str">
            <v>head_guishihei,head_niutou</v>
          </cell>
          <cell r="E117" t="str">
            <v>[]</v>
          </cell>
          <cell r="F117" t="str">
            <v>[]</v>
          </cell>
          <cell r="G117" t="str">
            <v>[]</v>
          </cell>
          <cell r="H117" t="str">
            <v>[]</v>
          </cell>
          <cell r="I117" t="str">
            <v>7316</v>
          </cell>
          <cell r="J117" t="str">
            <v>攻击+16%</v>
          </cell>
        </row>
        <row r="118">
          <cell r="A118">
            <v>11152</v>
          </cell>
          <cell r="B118" t="str">
            <v>护卫地府</v>
          </cell>
          <cell r="C118" t="str">
            <v>1134,1203</v>
          </cell>
          <cell r="D118" t="str">
            <v>head_jinghelongwang,head_guishihei</v>
          </cell>
          <cell r="E118" t="str">
            <v>[]</v>
          </cell>
          <cell r="F118" t="str">
            <v>[]</v>
          </cell>
          <cell r="G118" t="str">
            <v>[]</v>
          </cell>
          <cell r="H118" t="str">
            <v>[]</v>
          </cell>
          <cell r="I118" t="str">
            <v>7816,7916</v>
          </cell>
          <cell r="J118" t="str">
            <v>防御+16%</v>
          </cell>
        </row>
        <row r="119">
          <cell r="A119">
            <v>11153</v>
          </cell>
          <cell r="B119" t="str">
            <v>忠心无二</v>
          </cell>
          <cell r="C119" t="str">
            <v>1206,1204</v>
          </cell>
          <cell r="D119" t="str">
            <v>head_niutou,head_guishibai</v>
          </cell>
          <cell r="E119" t="str">
            <v>[]</v>
          </cell>
          <cell r="F119" t="str">
            <v>[]</v>
          </cell>
          <cell r="G119" t="str">
            <v>[]</v>
          </cell>
          <cell r="H119" t="str">
            <v>[]</v>
          </cell>
          <cell r="I119" t="str">
            <v>7816,7916</v>
          </cell>
          <cell r="J119" t="str">
            <v>防御+16%</v>
          </cell>
        </row>
        <row r="120">
          <cell r="A120">
            <v>11211</v>
          </cell>
          <cell r="B120" t="str">
            <v>灭世妖佛</v>
          </cell>
          <cell r="C120" t="str">
            <v>1211,1121,1127,1126</v>
          </cell>
          <cell r="D120" t="str">
            <v>head_douzhanshengfo,head_zixiaxianzi,head_milefo,head_wenshupusa</v>
          </cell>
          <cell r="E120" t="str">
            <v>[]</v>
          </cell>
          <cell r="F120" t="str">
            <v>[]</v>
          </cell>
          <cell r="G120" t="str">
            <v>[]</v>
          </cell>
          <cell r="H120" t="str">
            <v>[]</v>
          </cell>
          <cell r="I120" t="str">
            <v>7230,7330</v>
          </cell>
          <cell r="J120" t="str">
            <v>生命，攻击+30%</v>
          </cell>
        </row>
        <row r="121">
          <cell r="A121">
            <v>11212</v>
          </cell>
          <cell r="B121" t="str">
            <v>佛法无边</v>
          </cell>
          <cell r="C121" t="str">
            <v>1214,1213,1212,1215</v>
          </cell>
          <cell r="D121" t="str">
            <v>head_babutianlong,head_longdi,head_jinchanzi,head_guanshiyin</v>
          </cell>
          <cell r="E121" t="str">
            <v>[]</v>
          </cell>
          <cell r="F121" t="str">
            <v>[]</v>
          </cell>
          <cell r="G121" t="str">
            <v>[]</v>
          </cell>
          <cell r="H121" t="str">
            <v>[]</v>
          </cell>
          <cell r="I121" t="str">
            <v>7230,7330</v>
          </cell>
          <cell r="J121" t="str">
            <v>生命，攻击+30%</v>
          </cell>
        </row>
        <row r="122">
          <cell r="A122">
            <v>11213</v>
          </cell>
          <cell r="B122" t="str">
            <v>妖神护佑</v>
          </cell>
          <cell r="C122" t="str">
            <v>1211,1121,1212</v>
          </cell>
          <cell r="D122" t="str">
            <v>head_douzhanshengfo,head_zixiaxianzi,head_jinchanzi</v>
          </cell>
          <cell r="E122" t="str">
            <v>[]</v>
          </cell>
          <cell r="F122" t="str">
            <v>[]</v>
          </cell>
          <cell r="G122" t="str">
            <v>[]</v>
          </cell>
          <cell r="H122" t="str">
            <v>[]</v>
          </cell>
          <cell r="I122" t="str">
            <v>7224,7324</v>
          </cell>
          <cell r="J122" t="str">
            <v>生命，攻击+24%</v>
          </cell>
        </row>
        <row r="123">
          <cell r="A123">
            <v>11214</v>
          </cell>
          <cell r="B123" t="str">
            <v>妖佛对质</v>
          </cell>
          <cell r="C123" t="str">
            <v>1214,1213,1127</v>
          </cell>
          <cell r="D123" t="str">
            <v>head_babutianlong,head_longdi,head_milefo</v>
          </cell>
          <cell r="E123" t="str">
            <v>[]</v>
          </cell>
          <cell r="F123" t="str">
            <v>[]</v>
          </cell>
          <cell r="G123" t="str">
            <v>[]</v>
          </cell>
          <cell r="H123" t="str">
            <v>[]</v>
          </cell>
          <cell r="I123" t="str">
            <v>7224,7324</v>
          </cell>
          <cell r="J123" t="str">
            <v>生命，攻击+24%</v>
          </cell>
        </row>
        <row r="124">
          <cell r="A124">
            <v>11215</v>
          </cell>
          <cell r="B124" t="str">
            <v>佛法自然</v>
          </cell>
          <cell r="C124" t="str">
            <v>1212,1126,1215</v>
          </cell>
          <cell r="D124" t="str">
            <v>head_jinchanzi,head_wenshupusa,head_guanshiyin</v>
          </cell>
          <cell r="E124" t="str">
            <v>[]</v>
          </cell>
          <cell r="F124" t="str">
            <v>[]</v>
          </cell>
          <cell r="G124" t="str">
            <v>[]</v>
          </cell>
          <cell r="H124" t="str">
            <v>[]</v>
          </cell>
          <cell r="I124" t="str">
            <v>7220,7820,7920</v>
          </cell>
          <cell r="J124" t="str">
            <v>生命，防御+20%</v>
          </cell>
        </row>
        <row r="125">
          <cell r="A125">
            <v>11216</v>
          </cell>
          <cell r="B125" t="str">
            <v>恩怨纠葛</v>
          </cell>
          <cell r="C125" t="str">
            <v>1127,1126,1215</v>
          </cell>
          <cell r="D125" t="str">
            <v>head_milefo,head_wenshupusa,head_guanshiyin</v>
          </cell>
          <cell r="E125" t="str">
            <v>[]</v>
          </cell>
          <cell r="F125" t="str">
            <v>[]</v>
          </cell>
          <cell r="G125" t="str">
            <v>[]</v>
          </cell>
          <cell r="H125" t="str">
            <v>[]</v>
          </cell>
          <cell r="I125" t="str">
            <v>7220,7820,7920</v>
          </cell>
          <cell r="J125" t="str">
            <v>生命，防御+20%</v>
          </cell>
        </row>
        <row r="126">
          <cell r="A126">
            <v>11217</v>
          </cell>
          <cell r="B126" t="str">
            <v>纶音佛语</v>
          </cell>
          <cell r="C126" t="str">
            <v>1122,1125,1216</v>
          </cell>
          <cell r="D126" t="str">
            <v>head_tangsanzang,head_jiaye,head_nverguoguowang</v>
          </cell>
          <cell r="E126" t="str">
            <v>[]</v>
          </cell>
          <cell r="F126" t="str">
            <v>[]</v>
          </cell>
          <cell r="G126" t="str">
            <v>[]</v>
          </cell>
          <cell r="H126" t="str">
            <v>[]</v>
          </cell>
          <cell r="I126" t="str">
            <v>7220,7820,7920</v>
          </cell>
          <cell r="J126" t="str">
            <v>生命，防御+20%</v>
          </cell>
        </row>
        <row r="127">
          <cell r="A127">
            <v>11218</v>
          </cell>
          <cell r="B127" t="str">
            <v>战天斗地</v>
          </cell>
          <cell r="C127" t="str">
            <v>1110,1125,1216</v>
          </cell>
          <cell r="D127" t="str">
            <v>head_honghaier,head_jiaye,head_nverguoguowang</v>
          </cell>
          <cell r="E127" t="str">
            <v>[]</v>
          </cell>
          <cell r="F127" t="str">
            <v>[]</v>
          </cell>
          <cell r="G127" t="str">
            <v>[]</v>
          </cell>
          <cell r="H127" t="str">
            <v>[]</v>
          </cell>
          <cell r="I127" t="str">
            <v>7220,7320</v>
          </cell>
          <cell r="J127" t="str">
            <v>生命，攻击+20%</v>
          </cell>
        </row>
        <row r="128">
          <cell r="A128">
            <v>11219</v>
          </cell>
          <cell r="B128" t="str">
            <v>佛缘深厚</v>
          </cell>
          <cell r="C128" t="str">
            <v>1207,1202,1110</v>
          </cell>
          <cell r="D128" t="str">
            <v>head_yinhunxianzi,head_renshenwa,head_honghaier</v>
          </cell>
          <cell r="E128" t="str">
            <v>[]</v>
          </cell>
          <cell r="F128" t="str">
            <v>[]</v>
          </cell>
          <cell r="G128" t="str">
            <v>[]</v>
          </cell>
          <cell r="H128" t="str">
            <v>[]</v>
          </cell>
          <cell r="I128" t="str">
            <v>7220,7820,7920</v>
          </cell>
          <cell r="J128" t="str">
            <v>生命，防御+20%</v>
          </cell>
        </row>
        <row r="129">
          <cell r="A129">
            <v>11220</v>
          </cell>
          <cell r="B129" t="str">
            <v>后世之果</v>
          </cell>
          <cell r="C129" t="str">
            <v>1122,1207,1202</v>
          </cell>
          <cell r="D129" t="str">
            <v>head_tangsanzang,head_yinhunxianzi,head_renshenwa</v>
          </cell>
          <cell r="E129" t="str">
            <v>[]</v>
          </cell>
          <cell r="F129" t="str">
            <v>[]</v>
          </cell>
          <cell r="G129" t="str">
            <v>[]</v>
          </cell>
          <cell r="H129" t="str">
            <v>[]</v>
          </cell>
          <cell r="I129" t="str">
            <v>7220,7320</v>
          </cell>
          <cell r="J129" t="str">
            <v>生命，攻击+20%</v>
          </cell>
        </row>
        <row r="130">
          <cell r="A130">
            <v>11221</v>
          </cell>
          <cell r="B130" t="str">
            <v>斗战不休</v>
          </cell>
          <cell r="C130" t="str">
            <v>1211,1126</v>
          </cell>
          <cell r="D130" t="str">
            <v>head_douzhanshengfo,head_wenshupusa</v>
          </cell>
          <cell r="E130" t="str">
            <v>[]</v>
          </cell>
          <cell r="F130" t="str">
            <v>[]</v>
          </cell>
          <cell r="G130" t="str">
            <v>[]</v>
          </cell>
          <cell r="H130" t="str">
            <v>[]</v>
          </cell>
          <cell r="I130" t="str">
            <v>7820,7920</v>
          </cell>
          <cell r="J130" t="str">
            <v>防御+20%</v>
          </cell>
        </row>
        <row r="131">
          <cell r="A131">
            <v>11222</v>
          </cell>
          <cell r="B131" t="str">
            <v>冰清玉洁</v>
          </cell>
          <cell r="C131" t="str">
            <v>1121,1126</v>
          </cell>
          <cell r="D131" t="str">
            <v>head_zixiaxianzi,head_wenshupusa</v>
          </cell>
          <cell r="E131" t="str">
            <v>[]</v>
          </cell>
          <cell r="F131" t="str">
            <v>[]</v>
          </cell>
          <cell r="G131" t="str">
            <v>[]</v>
          </cell>
          <cell r="H131" t="str">
            <v>[]</v>
          </cell>
          <cell r="I131" t="str">
            <v>7820,7920</v>
          </cell>
          <cell r="J131" t="str">
            <v>防御+20%</v>
          </cell>
        </row>
        <row r="132">
          <cell r="A132">
            <v>11223</v>
          </cell>
          <cell r="B132" t="str">
            <v>笑里藏刀</v>
          </cell>
          <cell r="C132" t="str">
            <v>1214,1215</v>
          </cell>
          <cell r="D132" t="str">
            <v>head_babutianlong,head_guanshiyin</v>
          </cell>
          <cell r="E132" t="str">
            <v>[]</v>
          </cell>
          <cell r="F132" t="str">
            <v>[]</v>
          </cell>
          <cell r="G132" t="str">
            <v>[]</v>
          </cell>
          <cell r="H132" t="str">
            <v>[]</v>
          </cell>
          <cell r="I132" t="str">
            <v>7820,7920</v>
          </cell>
          <cell r="J132" t="str">
            <v>防御+20%</v>
          </cell>
        </row>
        <row r="133">
          <cell r="A133">
            <v>11224</v>
          </cell>
          <cell r="B133" t="str">
            <v>一脉相承</v>
          </cell>
          <cell r="C133" t="str">
            <v>1213,1215</v>
          </cell>
          <cell r="D133" t="str">
            <v>head_longdi,head_guanshiyin</v>
          </cell>
          <cell r="E133" t="str">
            <v>[]</v>
          </cell>
          <cell r="F133" t="str">
            <v>[]</v>
          </cell>
          <cell r="G133" t="str">
            <v>[]</v>
          </cell>
          <cell r="H133" t="str">
            <v>[]</v>
          </cell>
          <cell r="I133" t="str">
            <v>7820,7920</v>
          </cell>
          <cell r="J133" t="str">
            <v>防御+20%</v>
          </cell>
        </row>
        <row r="134">
          <cell r="A134">
            <v>11225</v>
          </cell>
          <cell r="B134" t="str">
            <v>普渡众生</v>
          </cell>
          <cell r="C134" t="str">
            <v>1212,1122</v>
          </cell>
          <cell r="D134" t="str">
            <v>head_jinchanzi,head_tangsanzang</v>
          </cell>
          <cell r="E134" t="str">
            <v>[]</v>
          </cell>
          <cell r="F134" t="str">
            <v>[]</v>
          </cell>
          <cell r="G134" t="str">
            <v>[]</v>
          </cell>
          <cell r="H134" t="str">
            <v>[]</v>
          </cell>
          <cell r="I134" t="str">
            <v>7816,7916</v>
          </cell>
          <cell r="J134" t="str">
            <v>防御+16%</v>
          </cell>
        </row>
        <row r="135">
          <cell r="A135">
            <v>11226</v>
          </cell>
          <cell r="B135" t="str">
            <v>遇佛杀佛</v>
          </cell>
          <cell r="C135" t="str">
            <v>1127,1122</v>
          </cell>
          <cell r="D135" t="str">
            <v>head_milefo,head_tangsanzang</v>
          </cell>
          <cell r="E135" t="str">
            <v>[]</v>
          </cell>
          <cell r="F135" t="str">
            <v>[]</v>
          </cell>
          <cell r="G135" t="str">
            <v>[]</v>
          </cell>
          <cell r="H135" t="str">
            <v>[]</v>
          </cell>
          <cell r="I135" t="str">
            <v>7316</v>
          </cell>
          <cell r="J135" t="str">
            <v>攻击+16%</v>
          </cell>
        </row>
        <row r="136">
          <cell r="A136">
            <v>11227</v>
          </cell>
          <cell r="B136" t="str">
            <v>见性成佛</v>
          </cell>
          <cell r="C136" t="str">
            <v>1212,1125</v>
          </cell>
          <cell r="D136" t="str">
            <v>head_jinchanzi,head_jiaye</v>
          </cell>
          <cell r="E136" t="str">
            <v>[]</v>
          </cell>
          <cell r="F136" t="str">
            <v>[]</v>
          </cell>
          <cell r="G136" t="str">
            <v>[]</v>
          </cell>
          <cell r="H136" t="str">
            <v>[]</v>
          </cell>
          <cell r="I136" t="str">
            <v>7316</v>
          </cell>
          <cell r="J136" t="str">
            <v>攻击+16%</v>
          </cell>
        </row>
        <row r="137">
          <cell r="A137">
            <v>11228</v>
          </cell>
          <cell r="B137" t="str">
            <v>魔主苍生</v>
          </cell>
          <cell r="C137" t="str">
            <v>1127,1125</v>
          </cell>
          <cell r="D137" t="str">
            <v>head_milefo,head_jiaye</v>
          </cell>
          <cell r="E137" t="str">
            <v>[]</v>
          </cell>
          <cell r="F137" t="str">
            <v>[]</v>
          </cell>
          <cell r="G137" t="str">
            <v>[]</v>
          </cell>
          <cell r="H137" t="str">
            <v>[]</v>
          </cell>
          <cell r="I137" t="str">
            <v>7816,7916</v>
          </cell>
          <cell r="J137" t="str">
            <v>防御+16%</v>
          </cell>
        </row>
        <row r="138">
          <cell r="A138">
            <v>11229</v>
          </cell>
          <cell r="B138" t="str">
            <v>前世今生</v>
          </cell>
          <cell r="C138" t="str">
            <v>1212,1127</v>
          </cell>
          <cell r="D138" t="str">
            <v>head_jinchanzi,head_milefo</v>
          </cell>
          <cell r="E138" t="str">
            <v>[]</v>
          </cell>
          <cell r="F138" t="str">
            <v>[]</v>
          </cell>
          <cell r="G138" t="str">
            <v>[]</v>
          </cell>
          <cell r="H138" t="str">
            <v>[]</v>
          </cell>
          <cell r="I138" t="str">
            <v>7820,7920</v>
          </cell>
          <cell r="J138" t="str">
            <v>防御+20%</v>
          </cell>
        </row>
        <row r="139">
          <cell r="A139">
            <v>11230</v>
          </cell>
          <cell r="B139" t="str">
            <v>法不相容</v>
          </cell>
          <cell r="C139" t="str">
            <v>1211,1110</v>
          </cell>
          <cell r="D139" t="str">
            <v>head_douzhanshengfo,head_honghaier</v>
          </cell>
          <cell r="E139" t="str">
            <v>[]</v>
          </cell>
          <cell r="F139" t="str">
            <v>[]</v>
          </cell>
          <cell r="G139" t="str">
            <v>[]</v>
          </cell>
          <cell r="H139" t="str">
            <v>[]</v>
          </cell>
          <cell r="I139" t="str">
            <v>7316</v>
          </cell>
          <cell r="J139" t="str">
            <v>攻击+16%</v>
          </cell>
        </row>
        <row r="140">
          <cell r="A140">
            <v>11231</v>
          </cell>
          <cell r="B140" t="str">
            <v>佛眼佛心</v>
          </cell>
          <cell r="C140" t="str">
            <v>1214,1110</v>
          </cell>
          <cell r="D140" t="str">
            <v>head_babutianlong,head_honghaier</v>
          </cell>
          <cell r="E140" t="str">
            <v>[]</v>
          </cell>
          <cell r="F140" t="str">
            <v>[]</v>
          </cell>
          <cell r="G140" t="str">
            <v>[]</v>
          </cell>
          <cell r="H140" t="str">
            <v>[]</v>
          </cell>
          <cell r="I140" t="str">
            <v>7216</v>
          </cell>
          <cell r="J140" t="str">
            <v>生命+16%</v>
          </cell>
        </row>
        <row r="141">
          <cell r="A141">
            <v>11232</v>
          </cell>
          <cell r="B141" t="str">
            <v>命途多舛</v>
          </cell>
          <cell r="C141" t="str">
            <v>1121,1207</v>
          </cell>
          <cell r="D141" t="str">
            <v>head_zixiaxianzi,head_yinhunxianzi</v>
          </cell>
          <cell r="E141" t="str">
            <v>[]</v>
          </cell>
          <cell r="F141" t="str">
            <v>[]</v>
          </cell>
          <cell r="G141" t="str">
            <v>[]</v>
          </cell>
          <cell r="H141" t="str">
            <v>[]</v>
          </cell>
          <cell r="I141" t="str">
            <v>7816,7916</v>
          </cell>
          <cell r="J141" t="str">
            <v>防御+16%</v>
          </cell>
        </row>
        <row r="142">
          <cell r="A142">
            <v>11233</v>
          </cell>
          <cell r="B142" t="str">
            <v>前世之源</v>
          </cell>
          <cell r="C142" t="str">
            <v>1213,1207</v>
          </cell>
          <cell r="D142" t="str">
            <v>head_longdi,head_yinhunxianzi</v>
          </cell>
          <cell r="E142" t="str">
            <v>[]</v>
          </cell>
          <cell r="F142" t="str">
            <v>[]</v>
          </cell>
          <cell r="G142" t="str">
            <v>[]</v>
          </cell>
          <cell r="H142" t="str">
            <v>[]</v>
          </cell>
          <cell r="I142" t="str">
            <v>7316</v>
          </cell>
          <cell r="J142" t="str">
            <v>攻击+16%</v>
          </cell>
        </row>
        <row r="143">
          <cell r="A143">
            <v>11234</v>
          </cell>
          <cell r="B143" t="str">
            <v>五庄相助</v>
          </cell>
          <cell r="C143" t="str">
            <v>1211,1202</v>
          </cell>
          <cell r="D143" t="str">
            <v>head_douzhanshengfo,head_renshenwa</v>
          </cell>
          <cell r="E143" t="str">
            <v>[]</v>
          </cell>
          <cell r="F143" t="str">
            <v>[]</v>
          </cell>
          <cell r="G143" t="str">
            <v>[]</v>
          </cell>
          <cell r="H143" t="str">
            <v>[]</v>
          </cell>
          <cell r="I143" t="str">
            <v>7816,7916</v>
          </cell>
          <cell r="J143" t="str">
            <v>防御+16%</v>
          </cell>
        </row>
        <row r="144">
          <cell r="A144">
            <v>11235</v>
          </cell>
          <cell r="B144" t="str">
            <v>贪吃成性</v>
          </cell>
          <cell r="C144" t="str">
            <v>1214,1202</v>
          </cell>
          <cell r="D144" t="str">
            <v>head_babutianlong,head_renshenwa</v>
          </cell>
          <cell r="E144" t="str">
            <v>[]</v>
          </cell>
          <cell r="F144" t="str">
            <v>[]</v>
          </cell>
          <cell r="G144" t="str">
            <v>[]</v>
          </cell>
          <cell r="H144" t="str">
            <v>[]</v>
          </cell>
          <cell r="I144" t="str">
            <v>7316</v>
          </cell>
          <cell r="J144" t="str">
            <v>攻击+16%</v>
          </cell>
        </row>
        <row r="145">
          <cell r="A145">
            <v>11236</v>
          </cell>
          <cell r="B145" t="str">
            <v>冰肌玉骨</v>
          </cell>
          <cell r="C145" t="str">
            <v>1121,1216</v>
          </cell>
          <cell r="D145" t="str">
            <v>head_zixiaxianzi,head_nverguoguowang</v>
          </cell>
          <cell r="E145" t="str">
            <v>[]</v>
          </cell>
          <cell r="F145" t="str">
            <v>[]</v>
          </cell>
          <cell r="G145" t="str">
            <v>[]</v>
          </cell>
          <cell r="H145" t="str">
            <v>[]</v>
          </cell>
          <cell r="I145" t="str">
            <v>7316</v>
          </cell>
          <cell r="J145" t="str">
            <v>攻击+16%</v>
          </cell>
        </row>
        <row r="146">
          <cell r="A146">
            <v>11237</v>
          </cell>
          <cell r="B146" t="str">
            <v>佛法高深</v>
          </cell>
          <cell r="C146" t="str">
            <v>1213,1216</v>
          </cell>
          <cell r="D146" t="str">
            <v>head_longdi,head_nverguoguowang</v>
          </cell>
          <cell r="E146" t="str">
            <v>[]</v>
          </cell>
          <cell r="F146" t="str">
            <v>[]</v>
          </cell>
          <cell r="G146" t="str">
            <v>[]</v>
          </cell>
          <cell r="H146" t="str">
            <v>[]</v>
          </cell>
          <cell r="I146" t="str">
            <v>7216</v>
          </cell>
          <cell r="J146" t="str">
            <v>生命+16%</v>
          </cell>
        </row>
        <row r="147">
          <cell r="A147">
            <v>11238</v>
          </cell>
          <cell r="B147" t="str">
            <v>师徒之源</v>
          </cell>
          <cell r="C147" t="str">
            <v>1211,1122</v>
          </cell>
          <cell r="D147" t="str">
            <v>head_douzhanshengfo,head_tangsanzang</v>
          </cell>
          <cell r="E147" t="str">
            <v>[]</v>
          </cell>
          <cell r="F147" t="str">
            <v>[]</v>
          </cell>
          <cell r="G147" t="str">
            <v>[]</v>
          </cell>
          <cell r="H147" t="str">
            <v>[]</v>
          </cell>
          <cell r="I147" t="str">
            <v>7216</v>
          </cell>
          <cell r="J147" t="str">
            <v>生命+16%</v>
          </cell>
        </row>
        <row r="148">
          <cell r="A148">
            <v>11239</v>
          </cell>
          <cell r="B148" t="str">
            <v>普陀相救</v>
          </cell>
          <cell r="C148" t="str">
            <v>1121,1125</v>
          </cell>
          <cell r="D148" t="str">
            <v>head_zixiaxianzi,head_jiaye</v>
          </cell>
          <cell r="E148" t="str">
            <v>[]</v>
          </cell>
          <cell r="F148" t="str">
            <v>[]</v>
          </cell>
          <cell r="G148" t="str">
            <v>[]</v>
          </cell>
          <cell r="H148" t="str">
            <v>[]</v>
          </cell>
          <cell r="I148" t="str">
            <v>7216</v>
          </cell>
          <cell r="J148" t="str">
            <v>生命+16%</v>
          </cell>
        </row>
        <row r="149">
          <cell r="A149">
            <v>11240</v>
          </cell>
          <cell r="B149" t="str">
            <v>佛光普照</v>
          </cell>
          <cell r="C149" t="str">
            <v>1214,1216</v>
          </cell>
          <cell r="D149" t="str">
            <v>head_babutianlong,head_nverguoguowang</v>
          </cell>
          <cell r="E149" t="str">
            <v>[]</v>
          </cell>
          <cell r="F149" t="str">
            <v>[]</v>
          </cell>
          <cell r="G149" t="str">
            <v>[]</v>
          </cell>
          <cell r="H149" t="str">
            <v>[]</v>
          </cell>
          <cell r="I149" t="str">
            <v>7816,7916</v>
          </cell>
          <cell r="J149" t="str">
            <v>防御+16%</v>
          </cell>
        </row>
        <row r="150">
          <cell r="A150">
            <v>11241</v>
          </cell>
          <cell r="B150" t="str">
            <v>佛祖护法</v>
          </cell>
          <cell r="C150" t="str">
            <v>1213,1110</v>
          </cell>
          <cell r="D150" t="str">
            <v>head_longdi,head_honghaier</v>
          </cell>
          <cell r="E150" t="str">
            <v>[]</v>
          </cell>
          <cell r="F150" t="str">
            <v>[]</v>
          </cell>
          <cell r="G150" t="str">
            <v>[]</v>
          </cell>
          <cell r="H150" t="str">
            <v>[]</v>
          </cell>
          <cell r="I150" t="str">
            <v>7816,7916</v>
          </cell>
          <cell r="J150" t="str">
            <v>防御+16%</v>
          </cell>
        </row>
        <row r="151">
          <cell r="A151">
            <v>11242</v>
          </cell>
          <cell r="B151" t="str">
            <v>如花似玉</v>
          </cell>
          <cell r="C151" t="str">
            <v>1207,1202</v>
          </cell>
          <cell r="D151" t="str">
            <v>head_yinhunxianzi,head_renshenwa</v>
          </cell>
          <cell r="E151" t="str">
            <v>[]</v>
          </cell>
          <cell r="F151" t="str">
            <v>[]</v>
          </cell>
          <cell r="G151" t="str">
            <v>[]</v>
          </cell>
          <cell r="H151" t="str">
            <v>[]</v>
          </cell>
          <cell r="I151" t="str">
            <v>7216</v>
          </cell>
          <cell r="J151" t="str">
            <v>生命+16%</v>
          </cell>
        </row>
        <row r="152">
          <cell r="A152">
            <v>11243</v>
          </cell>
          <cell r="B152" t="str">
            <v>佛光万丈</v>
          </cell>
          <cell r="C152" t="str">
            <v>1215,1126</v>
          </cell>
          <cell r="D152" t="str">
            <v>head_guanshiyin,head_wenshupusa</v>
          </cell>
          <cell r="E152" t="str">
            <v>[]</v>
          </cell>
          <cell r="F152" t="str">
            <v>[]</v>
          </cell>
          <cell r="G152" t="str">
            <v>[]</v>
          </cell>
          <cell r="H152" t="str">
            <v>[]</v>
          </cell>
          <cell r="I152" t="str">
            <v>7320</v>
          </cell>
          <cell r="J152" t="str">
            <v>攻击+20%</v>
          </cell>
        </row>
        <row r="153">
          <cell r="A153">
            <v>11244</v>
          </cell>
          <cell r="B153" t="str">
            <v>慈心向善</v>
          </cell>
          <cell r="C153" t="str">
            <v>1130,1118,1136</v>
          </cell>
          <cell r="D153" t="str">
            <v>head_dizangwang,head_hundun,head_bailonggongzhu</v>
          </cell>
          <cell r="E153" t="str">
            <v>[]</v>
          </cell>
          <cell r="F153" t="str">
            <v>[]</v>
          </cell>
          <cell r="G153" t="str">
            <v>[]</v>
          </cell>
          <cell r="H153" t="str">
            <v>[]</v>
          </cell>
          <cell r="I153" t="str">
            <v>7220,7320</v>
          </cell>
          <cell r="J153" t="str">
            <v>生命，攻击+20%</v>
          </cell>
        </row>
        <row r="154">
          <cell r="A154">
            <v>11245</v>
          </cell>
          <cell r="B154" t="str">
            <v>观音点化</v>
          </cell>
          <cell r="C154" t="str">
            <v>1128,1192,1152</v>
          </cell>
          <cell r="D154" t="str">
            <v>head_saitaisui,head_qinxian,head_heixiongjing</v>
          </cell>
          <cell r="E154" t="str">
            <v>[]</v>
          </cell>
          <cell r="F154" t="str">
            <v>[]</v>
          </cell>
          <cell r="G154" t="str">
            <v>[]</v>
          </cell>
          <cell r="H154" t="str">
            <v>[]</v>
          </cell>
          <cell r="I154" t="str">
            <v>7220,7320</v>
          </cell>
          <cell r="J154" t="str">
            <v>生命，攻击+20%</v>
          </cell>
        </row>
        <row r="155">
          <cell r="A155">
            <v>11246</v>
          </cell>
          <cell r="B155" t="str">
            <v>佛心普渡</v>
          </cell>
          <cell r="C155" t="str">
            <v>1136,1128,1192</v>
          </cell>
          <cell r="D155" t="str">
            <v>head_bailonggongzhu,head_saitaisui,head_qinxian</v>
          </cell>
          <cell r="E155" t="str">
            <v>[]</v>
          </cell>
          <cell r="F155" t="str">
            <v>[]</v>
          </cell>
          <cell r="G155" t="str">
            <v>[]</v>
          </cell>
          <cell r="H155" t="str">
            <v>[]</v>
          </cell>
          <cell r="I155" t="str">
            <v>7220,7820,7920</v>
          </cell>
          <cell r="J155" t="str">
            <v>生命，防御+20%</v>
          </cell>
        </row>
        <row r="156">
          <cell r="A156">
            <v>11247</v>
          </cell>
          <cell r="B156" t="str">
            <v>东海情缘</v>
          </cell>
          <cell r="C156" t="str">
            <v>1152,1130,1118</v>
          </cell>
          <cell r="D156" t="str">
            <v>head_heixiongjing,head_dizangwang,head_hundun</v>
          </cell>
          <cell r="E156" t="str">
            <v>[]</v>
          </cell>
          <cell r="F156" t="str">
            <v>[]</v>
          </cell>
          <cell r="G156" t="str">
            <v>[]</v>
          </cell>
          <cell r="H156" t="str">
            <v>[]</v>
          </cell>
          <cell r="I156" t="str">
            <v>7220,7820,7920</v>
          </cell>
          <cell r="J156" t="str">
            <v>生命，防御+20%</v>
          </cell>
        </row>
        <row r="157">
          <cell r="A157">
            <v>11248</v>
          </cell>
          <cell r="B157" t="str">
            <v>普陀相逢</v>
          </cell>
          <cell r="C157" t="str">
            <v>1152,1130</v>
          </cell>
          <cell r="D157" t="str">
            <v>head_heixiongjing,head_dizangwang</v>
          </cell>
          <cell r="E157" t="str">
            <v>[]</v>
          </cell>
          <cell r="F157" t="str">
            <v>[]</v>
          </cell>
          <cell r="G157" t="str">
            <v>[]</v>
          </cell>
          <cell r="H157" t="str">
            <v>[]</v>
          </cell>
          <cell r="I157" t="str">
            <v>7316</v>
          </cell>
          <cell r="J157" t="str">
            <v>攻击+16%</v>
          </cell>
        </row>
        <row r="158">
          <cell r="A158">
            <v>11249</v>
          </cell>
          <cell r="B158" t="str">
            <v>佛眼相看</v>
          </cell>
          <cell r="C158" t="str">
            <v>1128,1118</v>
          </cell>
          <cell r="D158" t="str">
            <v>head_saitaisui,head_hundun</v>
          </cell>
          <cell r="E158" t="str">
            <v>[]</v>
          </cell>
          <cell r="F158" t="str">
            <v>[]</v>
          </cell>
          <cell r="G158" t="str">
            <v>[]</v>
          </cell>
          <cell r="H158" t="str">
            <v>[]</v>
          </cell>
          <cell r="I158" t="str">
            <v>7316</v>
          </cell>
          <cell r="J158" t="str">
            <v>攻击+16%</v>
          </cell>
        </row>
        <row r="159">
          <cell r="A159">
            <v>11250</v>
          </cell>
          <cell r="B159" t="str">
            <v>妖娆魅惑</v>
          </cell>
          <cell r="C159" t="str">
            <v>1118,1152</v>
          </cell>
          <cell r="D159" t="str">
            <v>head_hundun,head_heixiongjing</v>
          </cell>
          <cell r="E159" t="str">
            <v>[]</v>
          </cell>
          <cell r="F159" t="str">
            <v>[]</v>
          </cell>
          <cell r="G159" t="str">
            <v>[]</v>
          </cell>
          <cell r="H159" t="str">
            <v>[]</v>
          </cell>
          <cell r="I159" t="str">
            <v>7816,7916</v>
          </cell>
          <cell r="J159" t="str">
            <v>防御+16%</v>
          </cell>
        </row>
        <row r="160">
          <cell r="A160">
            <v>11251</v>
          </cell>
          <cell r="B160" t="str">
            <v>心慈貌美</v>
          </cell>
          <cell r="C160" t="str">
            <v>1136,1192</v>
          </cell>
          <cell r="D160" t="str">
            <v>head_bailonggongzhu,head_qinxian</v>
          </cell>
          <cell r="E160" t="str">
            <v>[]</v>
          </cell>
          <cell r="F160" t="str">
            <v>[]</v>
          </cell>
          <cell r="G160" t="str">
            <v>[]</v>
          </cell>
          <cell r="H160" t="str">
            <v>[]</v>
          </cell>
          <cell r="I160" t="str">
            <v>7316</v>
          </cell>
          <cell r="J160" t="str">
            <v>攻击+16%</v>
          </cell>
        </row>
        <row r="161">
          <cell r="A161">
            <v>11252</v>
          </cell>
          <cell r="B161" t="str">
            <v>大战黑山</v>
          </cell>
          <cell r="C161" t="str">
            <v>1130,1136</v>
          </cell>
          <cell r="D161" t="str">
            <v>head_dizangwang,head_bailonggongzhu</v>
          </cell>
          <cell r="E161" t="str">
            <v>[]</v>
          </cell>
          <cell r="F161" t="str">
            <v>[]</v>
          </cell>
          <cell r="G161" t="str">
            <v>[]</v>
          </cell>
          <cell r="H161" t="str">
            <v>[]</v>
          </cell>
          <cell r="I161" t="str">
            <v>7816,7916</v>
          </cell>
          <cell r="J161" t="str">
            <v>防御+16%</v>
          </cell>
        </row>
        <row r="162">
          <cell r="A162">
            <v>11253</v>
          </cell>
          <cell r="B162" t="str">
            <v>仁心相助</v>
          </cell>
          <cell r="C162" t="str">
            <v>1192,1128</v>
          </cell>
          <cell r="D162" t="str">
            <v>head_qinxian,head_saitaisui</v>
          </cell>
          <cell r="E162" t="str">
            <v>[]</v>
          </cell>
          <cell r="F162" t="str">
            <v>[]</v>
          </cell>
          <cell r="G162" t="str">
            <v>[]</v>
          </cell>
          <cell r="H162" t="str">
            <v>[]</v>
          </cell>
          <cell r="I162" t="str">
            <v>7816,7916</v>
          </cell>
          <cell r="J162" t="str">
            <v>防御+16%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96"/>
  <sheetViews>
    <sheetView topLeftCell="R1" workbookViewId="0">
      <selection activeCell="C26" sqref="C20:W27"/>
    </sheetView>
  </sheetViews>
  <sheetFormatPr defaultRowHeight="13.5"/>
  <cols>
    <col min="1" max="1" width="11.875" customWidth="1"/>
    <col min="13" max="18" width="9.75" customWidth="1"/>
    <col min="22" max="25" width="9" style="1"/>
    <col min="26" max="26" width="13.5" style="1" bestFit="1" customWidth="1"/>
    <col min="27" max="29" width="9" style="1"/>
    <col min="30" max="30" width="13.5" style="1" bestFit="1" customWidth="1"/>
    <col min="31" max="32" width="9" style="1"/>
    <col min="33" max="33" width="15.375" style="1" bestFit="1" customWidth="1"/>
    <col min="34" max="36" width="9" style="1"/>
    <col min="37" max="37" width="13.5" style="1" bestFit="1" customWidth="1"/>
    <col min="38" max="43" width="9" style="1"/>
  </cols>
  <sheetData>
    <row r="1" spans="1:45">
      <c r="A1" s="2" t="s">
        <v>39</v>
      </c>
      <c r="B1" s="27" t="s">
        <v>144</v>
      </c>
      <c r="C1" s="28" t="s">
        <v>9</v>
      </c>
      <c r="D1" s="28" t="s">
        <v>10</v>
      </c>
      <c r="E1" s="28" t="s">
        <v>79</v>
      </c>
      <c r="F1" s="28" t="s">
        <v>69</v>
      </c>
      <c r="G1" s="28" t="s">
        <v>62</v>
      </c>
      <c r="H1" s="29"/>
      <c r="I1" s="30" t="s">
        <v>134</v>
      </c>
      <c r="J1" s="30"/>
      <c r="K1" s="30" t="s">
        <v>135</v>
      </c>
      <c r="L1" s="30"/>
      <c r="M1" s="30" t="s">
        <v>136</v>
      </c>
      <c r="N1" s="42"/>
      <c r="O1" s="50" t="s">
        <v>175</v>
      </c>
      <c r="P1" s="42"/>
      <c r="Q1" s="49" t="s">
        <v>174</v>
      </c>
      <c r="R1" s="51" t="s">
        <v>541</v>
      </c>
      <c r="T1" s="31" t="s">
        <v>145</v>
      </c>
      <c r="U1" s="32" t="s">
        <v>146</v>
      </c>
      <c r="V1" s="1" t="s">
        <v>151</v>
      </c>
    </row>
    <row r="2" spans="1:45">
      <c r="A2" s="117" t="s">
        <v>1</v>
      </c>
      <c r="B2" s="117">
        <f>COUNTIF($I$2:$I$160,"孙悟空")</f>
        <v>6</v>
      </c>
      <c r="C2" s="117" t="s">
        <v>87</v>
      </c>
      <c r="D2" s="4">
        <v>20</v>
      </c>
      <c r="E2" s="4" t="s">
        <v>59</v>
      </c>
      <c r="F2" s="4" t="str">
        <f>C2&amp;D2</f>
        <v>橙20</v>
      </c>
      <c r="G2" s="4" t="s">
        <v>65</v>
      </c>
      <c r="H2" s="142" t="s">
        <v>799</v>
      </c>
      <c r="I2" s="109" t="s">
        <v>782</v>
      </c>
      <c r="J2" s="140" t="s">
        <v>563</v>
      </c>
      <c r="K2" s="39" t="str">
        <f>IFERROR(VLOOKUP(I2,中介表!$A$1:$C$21,2,FALSE),"")</f>
        <v>二郎神</v>
      </c>
      <c r="L2" s="139" t="s">
        <v>595</v>
      </c>
      <c r="M2" s="39" t="str">
        <f>IFERROR(VLOOKUP(I2,中介表!$A$1:$C$21,3,FALSE),"")</f>
        <v>斗战胜佛</v>
      </c>
      <c r="N2" s="39"/>
      <c r="O2" s="43"/>
      <c r="P2" s="43"/>
      <c r="T2" s="117" t="s">
        <v>1</v>
      </c>
      <c r="V2" s="117" t="s">
        <v>0</v>
      </c>
      <c r="W2" s="117" t="s">
        <v>46</v>
      </c>
      <c r="X2" s="52" t="s">
        <v>41</v>
      </c>
      <c r="Y2" s="53" t="s">
        <v>48</v>
      </c>
      <c r="Z2" s="125" t="s">
        <v>838</v>
      </c>
      <c r="AA2" s="117" t="s">
        <v>0</v>
      </c>
      <c r="AB2" s="117" t="s">
        <v>46</v>
      </c>
      <c r="AC2" s="52" t="s">
        <v>2</v>
      </c>
      <c r="AD2" s="125" t="s">
        <v>839</v>
      </c>
      <c r="AE2" s="117" t="s">
        <v>0</v>
      </c>
      <c r="AF2" s="53" t="s">
        <v>48</v>
      </c>
      <c r="AG2" s="125" t="s">
        <v>846</v>
      </c>
      <c r="AH2" s="117" t="s">
        <v>0</v>
      </c>
      <c r="AI2" s="53" t="s">
        <v>47</v>
      </c>
      <c r="AJ2" s="125" t="s">
        <v>841</v>
      </c>
      <c r="AK2" s="117" t="s">
        <v>0</v>
      </c>
      <c r="AL2" s="53" t="s">
        <v>27</v>
      </c>
      <c r="AM2" s="125" t="s">
        <v>842</v>
      </c>
      <c r="AN2" s="117" t="s">
        <v>0</v>
      </c>
      <c r="AO2" s="53" t="s">
        <v>23</v>
      </c>
      <c r="AP2" s="125" t="s">
        <v>843</v>
      </c>
      <c r="AQ2" s="37"/>
      <c r="AR2" s="37"/>
      <c r="AS2" s="38"/>
    </row>
    <row r="3" spans="1:45">
      <c r="A3" s="117" t="s">
        <v>95</v>
      </c>
      <c r="B3" s="117">
        <f>COUNTIF($I$2:$I$160,"沙和尚")</f>
        <v>6</v>
      </c>
      <c r="C3" s="117" t="s">
        <v>11</v>
      </c>
      <c r="D3" s="4">
        <v>20</v>
      </c>
      <c r="E3" s="4" t="s">
        <v>59</v>
      </c>
      <c r="F3" s="4" t="str">
        <f t="shared" ref="F3:F27" si="0">C3&amp;D3</f>
        <v>橙20</v>
      </c>
      <c r="G3" s="4" t="s">
        <v>65</v>
      </c>
      <c r="H3" s="142"/>
      <c r="I3" s="109" t="s">
        <v>139</v>
      </c>
      <c r="J3" s="140"/>
      <c r="K3" s="39" t="str">
        <f>IFERROR(VLOOKUP(I3,中介表!$A$1:$C$21,2,FALSE),"")</f>
        <v>王母娘娘</v>
      </c>
      <c r="L3" s="139"/>
      <c r="M3" s="39" t="str">
        <f>IFERROR(VLOOKUP(I3,中介表!$A$1:$C$21,3,FALSE),"")</f>
        <v>紫霞仙子</v>
      </c>
      <c r="N3" s="39"/>
      <c r="O3" s="45" t="s">
        <v>0</v>
      </c>
      <c r="P3" s="45" t="s">
        <v>46</v>
      </c>
      <c r="Q3" s="45" t="s">
        <v>41</v>
      </c>
      <c r="R3" s="48" t="s">
        <v>176</v>
      </c>
      <c r="T3" s="117" t="s">
        <v>95</v>
      </c>
      <c r="V3" s="117" t="s">
        <v>0</v>
      </c>
      <c r="W3" s="117" t="s">
        <v>46</v>
      </c>
      <c r="X3" s="52" t="s">
        <v>41</v>
      </c>
      <c r="Y3" s="53" t="s">
        <v>48</v>
      </c>
      <c r="Z3" s="125" t="s">
        <v>838</v>
      </c>
      <c r="AA3" s="117" t="s">
        <v>0</v>
      </c>
      <c r="AB3" s="117" t="s">
        <v>46</v>
      </c>
      <c r="AC3" s="52" t="s">
        <v>2</v>
      </c>
      <c r="AD3" s="125" t="s">
        <v>839</v>
      </c>
      <c r="AE3" s="117" t="s">
        <v>46</v>
      </c>
      <c r="AF3" s="53" t="s">
        <v>48</v>
      </c>
      <c r="AG3" s="125" t="s">
        <v>840</v>
      </c>
      <c r="AH3" s="117" t="s">
        <v>46</v>
      </c>
      <c r="AI3" s="53" t="s">
        <v>16</v>
      </c>
      <c r="AJ3" s="125" t="s">
        <v>841</v>
      </c>
      <c r="AK3" s="117" t="s">
        <v>46</v>
      </c>
      <c r="AL3" s="53" t="s">
        <v>170</v>
      </c>
      <c r="AM3" s="125" t="s">
        <v>842</v>
      </c>
      <c r="AN3" s="117" t="s">
        <v>46</v>
      </c>
      <c r="AO3" s="53" t="s">
        <v>169</v>
      </c>
      <c r="AP3" s="125" t="s">
        <v>843</v>
      </c>
      <c r="AQ3" s="125"/>
      <c r="AR3" s="37"/>
      <c r="AS3" s="37"/>
    </row>
    <row r="4" spans="1:45">
      <c r="A4" s="52" t="s">
        <v>4</v>
      </c>
      <c r="B4" s="6">
        <f>COUNTIF($I$2:$I$160,"牛魔王")</f>
        <v>6</v>
      </c>
      <c r="C4" s="6" t="s">
        <v>11</v>
      </c>
      <c r="D4" s="4">
        <v>16</v>
      </c>
      <c r="E4" s="4" t="s">
        <v>59</v>
      </c>
      <c r="F4" s="4" t="str">
        <f t="shared" si="0"/>
        <v>橙16</v>
      </c>
      <c r="G4" s="4" t="s">
        <v>65</v>
      </c>
      <c r="H4" s="142"/>
      <c r="I4" s="109" t="s">
        <v>138</v>
      </c>
      <c r="J4" s="140"/>
      <c r="K4" s="39" t="str">
        <f>IFERROR(VLOOKUP(I4,中介表!$A$1:$C$21,2,FALSE),"")</f>
        <v>黑无常</v>
      </c>
      <c r="L4" s="139"/>
      <c r="M4" s="39" t="str">
        <f>IFERROR(VLOOKUP(I4,中介表!$A$1:$C$21,3,FALSE),"")</f>
        <v>弥勒佛</v>
      </c>
      <c r="N4" s="39"/>
      <c r="O4" s="45" t="s">
        <v>3</v>
      </c>
      <c r="P4" s="45" t="s">
        <v>168</v>
      </c>
      <c r="Q4" s="45" t="s">
        <v>2</v>
      </c>
      <c r="R4" s="48" t="s">
        <v>45</v>
      </c>
      <c r="T4" s="52" t="s">
        <v>4</v>
      </c>
      <c r="V4" s="52" t="s">
        <v>3</v>
      </c>
      <c r="W4" s="52" t="s">
        <v>168</v>
      </c>
      <c r="X4" s="52" t="s">
        <v>2</v>
      </c>
      <c r="Y4" s="52" t="s">
        <v>153</v>
      </c>
      <c r="Z4" s="125" t="s">
        <v>844</v>
      </c>
      <c r="AA4" s="52" t="s">
        <v>3</v>
      </c>
      <c r="AB4" s="52" t="s">
        <v>168</v>
      </c>
      <c r="AC4" s="52" t="s">
        <v>41</v>
      </c>
      <c r="AD4" s="125" t="s">
        <v>845</v>
      </c>
      <c r="AE4" s="52" t="s">
        <v>3</v>
      </c>
      <c r="AF4" s="52" t="s">
        <v>153</v>
      </c>
      <c r="AG4" s="127" t="s">
        <v>840</v>
      </c>
      <c r="AH4" s="52" t="s">
        <v>3</v>
      </c>
      <c r="AI4" s="53" t="s">
        <v>47</v>
      </c>
      <c r="AJ4" s="127" t="s">
        <v>848</v>
      </c>
      <c r="AK4" s="52" t="s">
        <v>3</v>
      </c>
      <c r="AL4" s="53" t="s">
        <v>27</v>
      </c>
      <c r="AM4" s="127" t="s">
        <v>847</v>
      </c>
      <c r="AN4" s="52" t="s">
        <v>3</v>
      </c>
      <c r="AO4" s="53" t="s">
        <v>170</v>
      </c>
      <c r="AP4" s="125" t="s">
        <v>849</v>
      </c>
      <c r="AQ4" s="125"/>
      <c r="AR4" s="38"/>
      <c r="AS4" s="38"/>
    </row>
    <row r="5" spans="1:45">
      <c r="A5" s="52" t="s">
        <v>26</v>
      </c>
      <c r="B5" s="6">
        <f>COUNTIF($I$2:$I$160,"铁扇公主")</f>
        <v>6</v>
      </c>
      <c r="C5" s="6" t="s">
        <v>11</v>
      </c>
      <c r="D5" s="4">
        <v>16</v>
      </c>
      <c r="E5" s="4" t="s">
        <v>59</v>
      </c>
      <c r="F5" s="4" t="str">
        <f t="shared" si="0"/>
        <v>橙16</v>
      </c>
      <c r="G5" s="4" t="s">
        <v>65</v>
      </c>
      <c r="H5" s="142"/>
      <c r="I5" s="109" t="s">
        <v>140</v>
      </c>
      <c r="J5" s="140"/>
      <c r="K5" s="39" t="str">
        <f>IFERROR(VLOOKUP(I5,中介表!$A$1:$C$21,2,FALSE),"")</f>
        <v>九天玄女</v>
      </c>
      <c r="L5" s="139"/>
      <c r="M5" s="39" t="str">
        <f>IFERROR(VLOOKUP(I5,中介表!$A$1:$C$21,3,FALSE),"")</f>
        <v>文殊菩萨</v>
      </c>
      <c r="N5" s="39"/>
      <c r="O5" s="45" t="s">
        <v>0</v>
      </c>
      <c r="P5" s="45" t="s">
        <v>46</v>
      </c>
      <c r="Q5" s="45" t="s">
        <v>2</v>
      </c>
      <c r="R5" s="44"/>
      <c r="T5" s="52" t="s">
        <v>26</v>
      </c>
      <c r="V5" s="52" t="s">
        <v>3</v>
      </c>
      <c r="W5" s="52" t="s">
        <v>168</v>
      </c>
      <c r="X5" s="52" t="s">
        <v>2</v>
      </c>
      <c r="Y5" s="52" t="s">
        <v>153</v>
      </c>
      <c r="Z5" s="125" t="s">
        <v>844</v>
      </c>
      <c r="AA5" s="52" t="s">
        <v>3</v>
      </c>
      <c r="AB5" s="52" t="s">
        <v>168</v>
      </c>
      <c r="AC5" s="52" t="s">
        <v>41</v>
      </c>
      <c r="AD5" s="125" t="s">
        <v>845</v>
      </c>
      <c r="AE5" s="52" t="s">
        <v>168</v>
      </c>
      <c r="AF5" s="52" t="s">
        <v>153</v>
      </c>
      <c r="AG5" s="127" t="s">
        <v>840</v>
      </c>
      <c r="AH5" s="52" t="s">
        <v>168</v>
      </c>
      <c r="AI5" s="53" t="s">
        <v>16</v>
      </c>
      <c r="AJ5" s="127" t="s">
        <v>848</v>
      </c>
      <c r="AK5" s="52" t="s">
        <v>168</v>
      </c>
      <c r="AL5" s="53" t="s">
        <v>170</v>
      </c>
      <c r="AM5" s="127" t="s">
        <v>847</v>
      </c>
      <c r="AN5" s="52" t="s">
        <v>168</v>
      </c>
      <c r="AO5" s="53" t="s">
        <v>47</v>
      </c>
      <c r="AP5" s="125" t="s">
        <v>849</v>
      </c>
      <c r="AQ5" s="125"/>
      <c r="AR5" s="38"/>
      <c r="AS5" s="38"/>
    </row>
    <row r="6" spans="1:45">
      <c r="A6" s="110" t="s">
        <v>138</v>
      </c>
      <c r="B6" s="6">
        <f>COUNTIF($I$2:$I$160,"虎力大仙")</f>
        <v>6</v>
      </c>
      <c r="C6" s="6" t="s">
        <v>87</v>
      </c>
      <c r="D6" s="4">
        <v>16</v>
      </c>
      <c r="E6" s="4" t="s">
        <v>59</v>
      </c>
      <c r="F6" s="4" t="str">
        <f t="shared" si="0"/>
        <v>橙16</v>
      </c>
      <c r="G6" s="4" t="s">
        <v>63</v>
      </c>
      <c r="I6" s="109"/>
      <c r="K6" s="39" t="str">
        <f>IFERROR(VLOOKUP(I6,中介表!$A$1:$C$21,2,FALSE),"")</f>
        <v/>
      </c>
      <c r="L6" s="39"/>
      <c r="M6" s="39" t="str">
        <f>IFERROR(VLOOKUP(I6,中介表!$A$1:$C$21,3,FALSE),"")</f>
        <v/>
      </c>
      <c r="N6" s="39"/>
      <c r="O6" s="45" t="s">
        <v>3</v>
      </c>
      <c r="P6" s="45" t="s">
        <v>168</v>
      </c>
      <c r="Q6" s="45" t="s">
        <v>41</v>
      </c>
      <c r="R6" s="44"/>
      <c r="T6" s="110" t="s">
        <v>138</v>
      </c>
      <c r="V6" s="117" t="s">
        <v>0</v>
      </c>
      <c r="W6" s="117" t="s">
        <v>46</v>
      </c>
      <c r="X6" s="52" t="s">
        <v>41</v>
      </c>
      <c r="Y6" s="53" t="s">
        <v>48</v>
      </c>
      <c r="Z6" s="125" t="s">
        <v>838</v>
      </c>
      <c r="AA6" s="52" t="s">
        <v>3</v>
      </c>
      <c r="AB6" s="52" t="s">
        <v>168</v>
      </c>
      <c r="AC6" s="52" t="s">
        <v>41</v>
      </c>
      <c r="AD6" s="125" t="s">
        <v>845</v>
      </c>
      <c r="AE6" s="52" t="s">
        <v>41</v>
      </c>
      <c r="AF6" s="53" t="s">
        <v>48</v>
      </c>
      <c r="AG6" s="52" t="s">
        <v>153</v>
      </c>
      <c r="AH6" s="37"/>
      <c r="AI6" s="52" t="s">
        <v>41</v>
      </c>
      <c r="AJ6" s="53" t="s">
        <v>23</v>
      </c>
      <c r="AK6" s="37"/>
      <c r="AL6" s="52" t="s">
        <v>41</v>
      </c>
      <c r="AM6" s="53" t="s">
        <v>169</v>
      </c>
      <c r="AN6" s="37"/>
      <c r="AO6" s="52" t="s">
        <v>2</v>
      </c>
      <c r="AP6" s="52" t="s">
        <v>41</v>
      </c>
      <c r="AQ6" s="37"/>
      <c r="AR6" s="38"/>
      <c r="AS6" s="38"/>
    </row>
    <row r="7" spans="1:45">
      <c r="A7" s="110" t="s">
        <v>22</v>
      </c>
      <c r="B7" s="6">
        <f>COUNTIF($I$2:$I$160,"猪八戒")</f>
        <v>6</v>
      </c>
      <c r="C7" s="6" t="s">
        <v>11</v>
      </c>
      <c r="D7" s="4">
        <v>16</v>
      </c>
      <c r="E7" s="4" t="s">
        <v>59</v>
      </c>
      <c r="F7" s="4" t="str">
        <f t="shared" si="0"/>
        <v>橙16</v>
      </c>
      <c r="G7" s="4" t="s">
        <v>63</v>
      </c>
      <c r="H7" s="142" t="s">
        <v>801</v>
      </c>
      <c r="I7" s="109" t="s">
        <v>137</v>
      </c>
      <c r="J7" s="140" t="s">
        <v>564</v>
      </c>
      <c r="K7" s="39" t="str">
        <f>IFERROR(VLOOKUP(I7,中介表!$A$1:$C$21,2,FALSE),"")</f>
        <v>哪吒</v>
      </c>
      <c r="L7" s="139" t="s">
        <v>594</v>
      </c>
      <c r="M7" s="39" t="str">
        <f>IFERROR(VLOOKUP(I7,中介表!$A$1:$C$21,3,FALSE),"")</f>
        <v>八部天龙</v>
      </c>
      <c r="N7" s="39"/>
      <c r="O7" s="45" t="s">
        <v>2</v>
      </c>
      <c r="P7" s="48" t="s">
        <v>48</v>
      </c>
      <c r="Q7" s="48" t="s">
        <v>45</v>
      </c>
      <c r="R7" s="44"/>
      <c r="T7" s="110" t="s">
        <v>22</v>
      </c>
      <c r="V7" s="52" t="s">
        <v>3</v>
      </c>
      <c r="W7" s="52" t="s">
        <v>168</v>
      </c>
      <c r="X7" s="52" t="s">
        <v>2</v>
      </c>
      <c r="Y7" s="52" t="s">
        <v>153</v>
      </c>
      <c r="Z7" s="125" t="s">
        <v>844</v>
      </c>
      <c r="AA7" s="117" t="s">
        <v>0</v>
      </c>
      <c r="AB7" s="117" t="s">
        <v>46</v>
      </c>
      <c r="AC7" s="52" t="s">
        <v>2</v>
      </c>
      <c r="AD7" s="125" t="s">
        <v>839</v>
      </c>
      <c r="AE7" s="52" t="s">
        <v>2</v>
      </c>
      <c r="AF7" s="53" t="s">
        <v>48</v>
      </c>
      <c r="AG7" s="52" t="s">
        <v>153</v>
      </c>
      <c r="AH7" s="37"/>
      <c r="AI7" s="52" t="s">
        <v>2</v>
      </c>
      <c r="AJ7" s="53" t="s">
        <v>23</v>
      </c>
      <c r="AK7" s="37"/>
      <c r="AL7" s="52" t="s">
        <v>2</v>
      </c>
      <c r="AM7" s="53" t="s">
        <v>169</v>
      </c>
      <c r="AN7" s="37"/>
      <c r="AO7" s="52" t="s">
        <v>2</v>
      </c>
      <c r="AP7" s="52" t="s">
        <v>41</v>
      </c>
      <c r="AQ7" s="125"/>
      <c r="AR7" s="38"/>
      <c r="AS7" s="38"/>
    </row>
    <row r="8" spans="1:45">
      <c r="A8" s="52" t="s">
        <v>45</v>
      </c>
      <c r="B8" s="52">
        <f>COUNTIF($I$2:$I$160,"羊力大仙")</f>
        <v>6</v>
      </c>
      <c r="C8" s="52" t="s">
        <v>87</v>
      </c>
      <c r="D8" s="4">
        <v>16</v>
      </c>
      <c r="E8" s="4" t="s">
        <v>59</v>
      </c>
      <c r="F8" s="4" t="str">
        <f t="shared" si="0"/>
        <v>橙16</v>
      </c>
      <c r="G8" s="4" t="s">
        <v>68</v>
      </c>
      <c r="H8" s="142"/>
      <c r="I8" s="109" t="s">
        <v>91</v>
      </c>
      <c r="J8" s="140"/>
      <c r="K8" s="39" t="str">
        <f>IFERROR(VLOOKUP(I8,中介表!$A$1:$C$21,2,FALSE),"")</f>
        <v>白无常</v>
      </c>
      <c r="L8" s="139"/>
      <c r="M8" s="39" t="str">
        <f>IFERROR(VLOOKUP(I8,中介表!$A$1:$C$21,3,FALSE),"")</f>
        <v>龙帝</v>
      </c>
      <c r="N8" s="39"/>
      <c r="O8" s="45" t="s">
        <v>41</v>
      </c>
      <c r="P8" s="48" t="s">
        <v>48</v>
      </c>
      <c r="Q8" s="48" t="s">
        <v>45</v>
      </c>
      <c r="R8" s="44"/>
      <c r="T8" s="52" t="s">
        <v>45</v>
      </c>
      <c r="V8" s="52" t="s">
        <v>607</v>
      </c>
      <c r="W8" s="52" t="s">
        <v>168</v>
      </c>
      <c r="X8" s="52" t="s">
        <v>2</v>
      </c>
      <c r="Y8" s="52" t="s">
        <v>153</v>
      </c>
      <c r="Z8" s="125" t="s">
        <v>844</v>
      </c>
      <c r="AA8" s="52" t="s">
        <v>2</v>
      </c>
      <c r="AB8" s="53" t="s">
        <v>48</v>
      </c>
      <c r="AC8" s="52" t="s">
        <v>153</v>
      </c>
      <c r="AD8" s="37"/>
      <c r="AE8" s="52" t="s">
        <v>41</v>
      </c>
      <c r="AF8" s="53" t="s">
        <v>48</v>
      </c>
      <c r="AG8" s="52" t="s">
        <v>153</v>
      </c>
      <c r="AH8" s="125"/>
      <c r="AI8" s="52" t="s">
        <v>3</v>
      </c>
      <c r="AJ8" s="52" t="s">
        <v>153</v>
      </c>
      <c r="AK8" s="127" t="s">
        <v>840</v>
      </c>
      <c r="AL8" s="52" t="s">
        <v>168</v>
      </c>
      <c r="AM8" s="52" t="s">
        <v>153</v>
      </c>
      <c r="AN8" s="127" t="s">
        <v>840</v>
      </c>
      <c r="AO8" s="52" t="s">
        <v>153</v>
      </c>
      <c r="AP8" s="53" t="s">
        <v>48</v>
      </c>
      <c r="AQ8" s="125"/>
      <c r="AR8" s="38"/>
      <c r="AS8" s="38"/>
    </row>
    <row r="9" spans="1:45">
      <c r="A9" s="53" t="s">
        <v>140</v>
      </c>
      <c r="B9" s="24">
        <f>COUNTIF($I$2:$I$160,"白骨夫人")</f>
        <v>6</v>
      </c>
      <c r="C9" s="24" t="s">
        <v>87</v>
      </c>
      <c r="D9" s="4">
        <v>13</v>
      </c>
      <c r="E9" s="4" t="s">
        <v>59</v>
      </c>
      <c r="F9" s="4" t="str">
        <f t="shared" si="0"/>
        <v>橙13</v>
      </c>
      <c r="G9" s="4" t="s">
        <v>67</v>
      </c>
      <c r="H9" s="142"/>
      <c r="I9" s="109" t="s">
        <v>22</v>
      </c>
      <c r="J9" s="140"/>
      <c r="K9" s="39" t="str">
        <f>IFERROR(VLOOKUP(I9,中介表!$A$1:$C$21,2,FALSE),"")</f>
        <v>托塔天王</v>
      </c>
      <c r="L9" s="139"/>
      <c r="M9" s="39" t="str">
        <f>IFERROR(VLOOKUP(I9,中介表!$A$1:$C$21,3,FALSE),"")</f>
        <v>金蝉子</v>
      </c>
      <c r="N9" s="39"/>
      <c r="O9" s="48" t="s">
        <v>23</v>
      </c>
      <c r="P9" s="48" t="s">
        <v>169</v>
      </c>
      <c r="Q9" s="48" t="s">
        <v>170</v>
      </c>
      <c r="R9" s="44"/>
      <c r="T9" s="53" t="s">
        <v>140</v>
      </c>
      <c r="V9" s="117" t="s">
        <v>0</v>
      </c>
      <c r="W9" s="117" t="s">
        <v>46</v>
      </c>
      <c r="X9" s="52" t="s">
        <v>41</v>
      </c>
      <c r="Y9" s="53" t="s">
        <v>48</v>
      </c>
      <c r="Z9" s="125" t="s">
        <v>838</v>
      </c>
      <c r="AA9" s="52" t="s">
        <v>2</v>
      </c>
      <c r="AB9" s="53" t="s">
        <v>48</v>
      </c>
      <c r="AC9" s="52" t="s">
        <v>153</v>
      </c>
      <c r="AD9" s="125"/>
      <c r="AE9" s="52" t="s">
        <v>41</v>
      </c>
      <c r="AF9" s="53" t="s">
        <v>48</v>
      </c>
      <c r="AG9" s="52" t="s">
        <v>153</v>
      </c>
      <c r="AH9" s="125"/>
      <c r="AI9" s="117" t="s">
        <v>172</v>
      </c>
      <c r="AJ9" s="53" t="s">
        <v>48</v>
      </c>
      <c r="AK9" s="125" t="s">
        <v>840</v>
      </c>
      <c r="AL9" s="117" t="s">
        <v>46</v>
      </c>
      <c r="AM9" s="53" t="s">
        <v>48</v>
      </c>
      <c r="AN9" s="125" t="s">
        <v>840</v>
      </c>
      <c r="AO9" s="52" t="s">
        <v>153</v>
      </c>
      <c r="AP9" s="53" t="s">
        <v>48</v>
      </c>
      <c r="AQ9" s="125"/>
      <c r="AR9" s="38"/>
      <c r="AS9" s="38"/>
    </row>
    <row r="10" spans="1:45">
      <c r="A10" s="114" t="s">
        <v>24</v>
      </c>
      <c r="B10" s="24">
        <f>COUNTIF($I$2:$I$160,"六耳猕猴")</f>
        <v>5</v>
      </c>
      <c r="C10" s="24" t="s">
        <v>11</v>
      </c>
      <c r="D10" s="4">
        <v>13</v>
      </c>
      <c r="E10" s="4" t="s">
        <v>59</v>
      </c>
      <c r="F10" s="4" t="str">
        <f t="shared" si="0"/>
        <v>橙13</v>
      </c>
      <c r="G10" s="4" t="s">
        <v>65</v>
      </c>
      <c r="H10" s="142"/>
      <c r="I10" s="109" t="s">
        <v>167</v>
      </c>
      <c r="J10" s="140"/>
      <c r="K10" s="39" t="str">
        <f>IFERROR(VLOOKUP(I10,中介表!$A$1:$C$21,2,FALSE),"")</f>
        <v>嫦娥</v>
      </c>
      <c r="L10" s="139"/>
      <c r="M10" s="39" t="str">
        <f>IFERROR(VLOOKUP(I10,中介表!$A$1:$C$21,3,FALSE),"")</f>
        <v>观世音</v>
      </c>
      <c r="N10" s="39"/>
      <c r="O10" s="48" t="s">
        <v>47</v>
      </c>
      <c r="P10" s="48" t="s">
        <v>16</v>
      </c>
      <c r="Q10" s="48" t="s">
        <v>170</v>
      </c>
      <c r="R10" s="44"/>
      <c r="T10" s="114" t="s">
        <v>24</v>
      </c>
      <c r="V10" s="53" t="s">
        <v>23</v>
      </c>
      <c r="W10" s="53" t="s">
        <v>169</v>
      </c>
      <c r="X10" s="53" t="s">
        <v>170</v>
      </c>
      <c r="Y10" s="125"/>
      <c r="Z10" s="53" t="s">
        <v>23</v>
      </c>
      <c r="AA10" s="53" t="s">
        <v>16</v>
      </c>
      <c r="AB10" s="53" t="s">
        <v>27</v>
      </c>
      <c r="AC10" s="37"/>
      <c r="AD10" s="52" t="s">
        <v>2</v>
      </c>
      <c r="AE10" s="53" t="s">
        <v>23</v>
      </c>
      <c r="AF10" s="37"/>
      <c r="AG10" s="52" t="s">
        <v>41</v>
      </c>
      <c r="AH10" s="53" t="s">
        <v>23</v>
      </c>
      <c r="AI10" s="37"/>
      <c r="AJ10" s="117" t="s">
        <v>0</v>
      </c>
      <c r="AK10" s="53" t="s">
        <v>23</v>
      </c>
      <c r="AL10" s="125" t="s">
        <v>843</v>
      </c>
      <c r="AM10" s="125"/>
      <c r="AN10" s="125"/>
      <c r="AO10" s="125"/>
      <c r="AP10" s="125"/>
      <c r="AQ10" s="125"/>
      <c r="AR10" s="38"/>
      <c r="AS10" s="38"/>
    </row>
    <row r="11" spans="1:45">
      <c r="A11" s="53" t="s">
        <v>152</v>
      </c>
      <c r="B11" s="24">
        <f>COUNTIF($I$2:$I$160,"鹿力大仙")</f>
        <v>5</v>
      </c>
      <c r="C11" s="24" t="s">
        <v>11</v>
      </c>
      <c r="D11" s="4">
        <v>13</v>
      </c>
      <c r="E11" s="4" t="s">
        <v>59</v>
      </c>
      <c r="F11" s="4" t="str">
        <f t="shared" si="0"/>
        <v>橙13</v>
      </c>
      <c r="G11" s="4" t="s">
        <v>65</v>
      </c>
      <c r="I11" s="109"/>
      <c r="K11" s="39" t="str">
        <f>IFERROR(VLOOKUP(I11,中介表!$A$1:$C$21,2,FALSE),"")</f>
        <v/>
      </c>
      <c r="L11" s="39"/>
      <c r="M11" s="39" t="str">
        <f>IFERROR(VLOOKUP(I11,中介表!$A$1:$C$21,3,FALSE),"")</f>
        <v/>
      </c>
      <c r="N11" s="39"/>
      <c r="O11" s="48" t="s">
        <v>169</v>
      </c>
      <c r="P11" s="48" t="s">
        <v>27</v>
      </c>
      <c r="Q11" s="48" t="s">
        <v>47</v>
      </c>
      <c r="R11" s="44"/>
      <c r="T11" s="53" t="s">
        <v>152</v>
      </c>
      <c r="V11" s="53" t="s">
        <v>606</v>
      </c>
      <c r="W11" s="53" t="s">
        <v>16</v>
      </c>
      <c r="X11" s="53" t="s">
        <v>170</v>
      </c>
      <c r="Y11" s="37"/>
      <c r="Z11" s="53" t="s">
        <v>169</v>
      </c>
      <c r="AA11" s="53" t="s">
        <v>27</v>
      </c>
      <c r="AB11" s="53" t="s">
        <v>47</v>
      </c>
      <c r="AC11" s="37"/>
      <c r="AD11" s="117" t="s">
        <v>0</v>
      </c>
      <c r="AE11" s="53" t="s">
        <v>47</v>
      </c>
      <c r="AF11" s="125" t="s">
        <v>841</v>
      </c>
      <c r="AG11" s="52" t="s">
        <v>3</v>
      </c>
      <c r="AH11" s="53" t="s">
        <v>47</v>
      </c>
      <c r="AI11" s="127" t="s">
        <v>848</v>
      </c>
      <c r="AJ11" s="52" t="s">
        <v>168</v>
      </c>
      <c r="AK11" s="53" t="s">
        <v>47</v>
      </c>
      <c r="AL11" s="125" t="s">
        <v>849</v>
      </c>
      <c r="AM11" s="125"/>
      <c r="AN11" s="125"/>
      <c r="AO11" s="125"/>
      <c r="AP11" s="125"/>
      <c r="AQ11" s="125"/>
      <c r="AR11" s="38"/>
      <c r="AS11" s="38"/>
    </row>
    <row r="12" spans="1:45">
      <c r="A12" s="114" t="s">
        <v>83</v>
      </c>
      <c r="B12" s="24">
        <f>COUNTIF($I$2:$I$160,"混世魔王")</f>
        <v>5</v>
      </c>
      <c r="C12" s="24" t="s">
        <v>11</v>
      </c>
      <c r="D12" s="4">
        <v>13</v>
      </c>
      <c r="E12" s="4" t="s">
        <v>59</v>
      </c>
      <c r="F12" s="4" t="str">
        <f t="shared" si="0"/>
        <v>橙13</v>
      </c>
      <c r="G12" s="4" t="s">
        <v>63</v>
      </c>
      <c r="H12" s="142" t="s">
        <v>803</v>
      </c>
      <c r="I12" s="109" t="s">
        <v>165</v>
      </c>
      <c r="J12" s="140" t="s">
        <v>568</v>
      </c>
      <c r="K12" s="39" t="str">
        <f>IFERROR(VLOOKUP(I12,中介表!$A$1:$C$21,2,FALSE),"")</f>
        <v>二郎神</v>
      </c>
      <c r="L12" s="139" t="s">
        <v>597</v>
      </c>
      <c r="M12" s="39" t="str">
        <f>IFERROR(VLOOKUP(I12,中介表!$A$1:$C$21,3,FALSE),"")</f>
        <v>斗战胜佛</v>
      </c>
      <c r="N12" s="39"/>
      <c r="O12" s="48" t="s">
        <v>23</v>
      </c>
      <c r="P12" s="48" t="s">
        <v>16</v>
      </c>
      <c r="Q12" s="48" t="s">
        <v>27</v>
      </c>
      <c r="R12" s="44"/>
      <c r="T12" s="114" t="s">
        <v>83</v>
      </c>
      <c r="V12" s="53" t="s">
        <v>23</v>
      </c>
      <c r="W12" s="53" t="s">
        <v>169</v>
      </c>
      <c r="X12" s="53" t="s">
        <v>170</v>
      </c>
      <c r="Y12" s="37"/>
      <c r="Z12" s="53" t="s">
        <v>169</v>
      </c>
      <c r="AA12" s="53" t="s">
        <v>27</v>
      </c>
      <c r="AB12" s="53" t="s">
        <v>47</v>
      </c>
      <c r="AC12" s="37"/>
      <c r="AD12" s="52" t="s">
        <v>2</v>
      </c>
      <c r="AE12" s="53" t="s">
        <v>169</v>
      </c>
      <c r="AF12" s="37"/>
      <c r="AG12" s="52" t="s">
        <v>41</v>
      </c>
      <c r="AH12" s="53" t="s">
        <v>169</v>
      </c>
      <c r="AI12" s="37"/>
      <c r="AJ12" s="117" t="s">
        <v>46</v>
      </c>
      <c r="AK12" s="53" t="s">
        <v>169</v>
      </c>
      <c r="AL12" s="125" t="s">
        <v>843</v>
      </c>
      <c r="AM12" s="125"/>
      <c r="AN12" s="125"/>
      <c r="AO12" s="125"/>
      <c r="AP12" s="125"/>
      <c r="AQ12" s="125"/>
      <c r="AR12" s="38"/>
      <c r="AS12" s="38"/>
    </row>
    <row r="13" spans="1:45">
      <c r="A13" s="53" t="s">
        <v>783</v>
      </c>
      <c r="B13" s="24">
        <f>COUNTIF($I$2:$I$160,"彩蝶仙童")</f>
        <v>5</v>
      </c>
      <c r="C13" s="24" t="s">
        <v>11</v>
      </c>
      <c r="D13" s="4">
        <v>13</v>
      </c>
      <c r="E13" s="4" t="s">
        <v>59</v>
      </c>
      <c r="F13" s="4" t="str">
        <f t="shared" si="0"/>
        <v>橙13</v>
      </c>
      <c r="G13" s="4" t="s">
        <v>65</v>
      </c>
      <c r="H13" s="142"/>
      <c r="I13" s="109" t="s">
        <v>139</v>
      </c>
      <c r="J13" s="140"/>
      <c r="K13" s="39" t="str">
        <f>IFERROR(VLOOKUP(I13,中介表!$A$1:$C$21,2,FALSE),"")</f>
        <v>王母娘娘</v>
      </c>
      <c r="L13" s="139"/>
      <c r="M13" s="39" t="str">
        <f>IFERROR(VLOOKUP(I13,中介表!$A$1:$C$21,3,FALSE),"")</f>
        <v>紫霞仙子</v>
      </c>
      <c r="N13" s="39"/>
      <c r="O13" s="45" t="s">
        <v>0</v>
      </c>
      <c r="P13" s="48" t="s">
        <v>48</v>
      </c>
      <c r="Q13" s="44"/>
      <c r="R13" s="44"/>
      <c r="T13" s="53" t="s">
        <v>763</v>
      </c>
      <c r="V13" s="53" t="s">
        <v>23</v>
      </c>
      <c r="W13" s="53" t="s">
        <v>169</v>
      </c>
      <c r="X13" s="53" t="s">
        <v>170</v>
      </c>
      <c r="Y13" s="37"/>
      <c r="Z13" s="53" t="s">
        <v>47</v>
      </c>
      <c r="AA13" s="53" t="s">
        <v>16</v>
      </c>
      <c r="AB13" s="53" t="s">
        <v>170</v>
      </c>
      <c r="AC13" s="37"/>
      <c r="AD13" s="117" t="s">
        <v>46</v>
      </c>
      <c r="AE13" s="53" t="s">
        <v>170</v>
      </c>
      <c r="AF13" s="125" t="s">
        <v>842</v>
      </c>
      <c r="AG13" s="52" t="s">
        <v>168</v>
      </c>
      <c r="AH13" s="53" t="s">
        <v>170</v>
      </c>
      <c r="AI13" s="127" t="s">
        <v>847</v>
      </c>
      <c r="AJ13" s="52" t="s">
        <v>3</v>
      </c>
      <c r="AK13" s="53" t="s">
        <v>170</v>
      </c>
      <c r="AL13" s="125" t="s">
        <v>849</v>
      </c>
      <c r="AM13" s="125"/>
      <c r="AN13" s="125"/>
      <c r="AO13" s="125"/>
      <c r="AP13" s="125"/>
      <c r="AQ13" s="125"/>
      <c r="AR13" s="38"/>
      <c r="AS13" s="38"/>
    </row>
    <row r="14" spans="1:45">
      <c r="A14" s="53" t="s">
        <v>784</v>
      </c>
      <c r="B14" s="24">
        <f>COUNTIF($I$2:$I$160,"蝎子精")</f>
        <v>5</v>
      </c>
      <c r="C14" s="24" t="s">
        <v>11</v>
      </c>
      <c r="D14" s="4">
        <v>13</v>
      </c>
      <c r="E14" s="4" t="s">
        <v>59</v>
      </c>
      <c r="F14" s="4" t="str">
        <f t="shared" si="0"/>
        <v>橙13</v>
      </c>
      <c r="G14" s="4" t="s">
        <v>65</v>
      </c>
      <c r="H14" s="142"/>
      <c r="I14" s="109" t="s">
        <v>22</v>
      </c>
      <c r="J14" s="140"/>
      <c r="K14" s="39" t="str">
        <f>IFERROR(VLOOKUP(I14,中介表!$A$1:$C$21,2,FALSE),"")</f>
        <v>托塔天王</v>
      </c>
      <c r="L14" s="139"/>
      <c r="M14" s="39" t="str">
        <f>IFERROR(VLOOKUP(I14,中介表!$A$1:$C$21,3,FALSE),"")</f>
        <v>金蝉子</v>
      </c>
      <c r="N14" s="39"/>
      <c r="O14" s="45" t="s">
        <v>46</v>
      </c>
      <c r="P14" s="48" t="s">
        <v>48</v>
      </c>
      <c r="Q14" s="44"/>
      <c r="R14" s="44"/>
      <c r="T14" s="53" t="s">
        <v>17</v>
      </c>
      <c r="V14" s="53" t="s">
        <v>47</v>
      </c>
      <c r="W14" s="53" t="s">
        <v>16</v>
      </c>
      <c r="X14" s="53" t="s">
        <v>170</v>
      </c>
      <c r="Y14" s="125"/>
      <c r="Z14" s="53" t="s">
        <v>23</v>
      </c>
      <c r="AA14" s="53" t="s">
        <v>16</v>
      </c>
      <c r="AB14" s="53" t="s">
        <v>27</v>
      </c>
      <c r="AC14" s="37"/>
      <c r="AD14" s="117" t="s">
        <v>46</v>
      </c>
      <c r="AE14" s="53" t="s">
        <v>16</v>
      </c>
      <c r="AF14" s="125" t="s">
        <v>841</v>
      </c>
      <c r="AG14" s="52" t="s">
        <v>168</v>
      </c>
      <c r="AH14" s="53" t="s">
        <v>16</v>
      </c>
      <c r="AI14" s="127" t="s">
        <v>848</v>
      </c>
      <c r="AJ14" s="53" t="s">
        <v>16</v>
      </c>
      <c r="AK14" s="53" t="s">
        <v>27</v>
      </c>
      <c r="AL14" s="125"/>
      <c r="AM14" s="125"/>
      <c r="AN14" s="125"/>
      <c r="AO14" s="125"/>
      <c r="AP14" s="125"/>
      <c r="AQ14" s="125"/>
      <c r="AR14" s="38"/>
      <c r="AS14" s="38"/>
    </row>
    <row r="15" spans="1:45">
      <c r="A15" s="53" t="s">
        <v>785</v>
      </c>
      <c r="B15" s="24">
        <f>COUNTIF($I$2:$I$160,"蜘蛛精")</f>
        <v>5</v>
      </c>
      <c r="C15" s="24" t="s">
        <v>11</v>
      </c>
      <c r="D15" s="4">
        <v>13</v>
      </c>
      <c r="E15" s="4" t="s">
        <v>59</v>
      </c>
      <c r="F15" s="4" t="str">
        <f t="shared" si="0"/>
        <v>橙13</v>
      </c>
      <c r="G15" s="4" t="s">
        <v>68</v>
      </c>
      <c r="I15" s="109"/>
      <c r="K15" s="39" t="str">
        <f>IFERROR(VLOOKUP(I15,中介表!$A$1:$C$21,2,FALSE),"")</f>
        <v/>
      </c>
      <c r="L15" s="39"/>
      <c r="M15" s="39" t="str">
        <f>IFERROR(VLOOKUP(I15,中介表!$A$1:$C$21,3,FALSE),"")</f>
        <v/>
      </c>
      <c r="N15" s="39"/>
      <c r="O15" s="45" t="s">
        <v>3</v>
      </c>
      <c r="P15" s="48" t="s">
        <v>45</v>
      </c>
      <c r="Q15" s="44"/>
      <c r="R15" s="44"/>
      <c r="T15" s="53" t="s">
        <v>767</v>
      </c>
      <c r="V15" s="53" t="s">
        <v>169</v>
      </c>
      <c r="W15" s="53" t="s">
        <v>27</v>
      </c>
      <c r="X15" s="53" t="s">
        <v>47</v>
      </c>
      <c r="Y15" s="125"/>
      <c r="Z15" s="53" t="s">
        <v>23</v>
      </c>
      <c r="AA15" s="53" t="s">
        <v>16</v>
      </c>
      <c r="AB15" s="53" t="s">
        <v>27</v>
      </c>
      <c r="AC15" s="37"/>
      <c r="AD15" s="117" t="s">
        <v>0</v>
      </c>
      <c r="AE15" s="53" t="s">
        <v>27</v>
      </c>
      <c r="AF15" s="125" t="s">
        <v>842</v>
      </c>
      <c r="AG15" s="52" t="s">
        <v>3</v>
      </c>
      <c r="AH15" s="53" t="s">
        <v>27</v>
      </c>
      <c r="AI15" s="127" t="s">
        <v>847</v>
      </c>
      <c r="AJ15" s="53" t="s">
        <v>16</v>
      </c>
      <c r="AK15" s="53" t="s">
        <v>27</v>
      </c>
      <c r="AL15" s="125"/>
      <c r="AM15" s="125"/>
      <c r="AN15" s="125"/>
      <c r="AO15" s="125"/>
      <c r="AP15" s="125"/>
      <c r="AQ15" s="125"/>
      <c r="AR15" s="38"/>
      <c r="AS15" s="38"/>
    </row>
    <row r="16" spans="1:45">
      <c r="A16" s="46" t="s">
        <v>147</v>
      </c>
      <c r="B16" s="7">
        <f>COUNTIF($I$2:$I$160,"金钱豹王")</f>
        <v>4</v>
      </c>
      <c r="C16" s="7" t="s">
        <v>18</v>
      </c>
      <c r="D16" s="4">
        <v>11</v>
      </c>
      <c r="E16" s="4" t="s">
        <v>159</v>
      </c>
      <c r="F16" s="4" t="str">
        <f t="shared" si="0"/>
        <v>紫11</v>
      </c>
      <c r="G16" s="4" t="s">
        <v>65</v>
      </c>
      <c r="H16" s="142" t="s">
        <v>805</v>
      </c>
      <c r="I16" s="109" t="s">
        <v>137</v>
      </c>
      <c r="J16" s="140" t="s">
        <v>566</v>
      </c>
      <c r="K16" s="39" t="str">
        <f>IFERROR(VLOOKUP(I16,中介表!$A$1:$C$21,2,FALSE),"")</f>
        <v>哪吒</v>
      </c>
      <c r="L16" s="139" t="s">
        <v>596</v>
      </c>
      <c r="M16" s="39" t="str">
        <f>IFERROR(VLOOKUP(I16,中介表!$A$1:$C$21,3,FALSE),"")</f>
        <v>八部天龙</v>
      </c>
      <c r="N16" s="39"/>
      <c r="O16" s="45" t="s">
        <v>168</v>
      </c>
      <c r="P16" s="48" t="s">
        <v>45</v>
      </c>
      <c r="Q16" s="44"/>
      <c r="R16" s="44"/>
      <c r="T16" s="46" t="s">
        <v>147</v>
      </c>
      <c r="V16" s="46" t="s">
        <v>55</v>
      </c>
      <c r="W16" s="47" t="s">
        <v>160</v>
      </c>
      <c r="X16" s="46" t="s">
        <v>53</v>
      </c>
      <c r="Y16" s="125"/>
      <c r="Z16" s="46" t="s">
        <v>53</v>
      </c>
      <c r="AA16" s="46" t="s">
        <v>54</v>
      </c>
      <c r="AB16" s="37"/>
      <c r="AC16" s="46" t="s">
        <v>53</v>
      </c>
      <c r="AD16" s="46" t="s">
        <v>55</v>
      </c>
      <c r="AE16" s="37"/>
      <c r="AF16" s="46" t="s">
        <v>53</v>
      </c>
      <c r="AG16" s="46" t="s">
        <v>171</v>
      </c>
    </row>
    <row r="17" spans="1:48">
      <c r="A17" s="46" t="s">
        <v>148</v>
      </c>
      <c r="B17" s="7">
        <f>COUNTIF($I$2:$I$160,"墨鱼精")</f>
        <v>4</v>
      </c>
      <c r="C17" s="7" t="s">
        <v>18</v>
      </c>
      <c r="D17" s="4">
        <v>11</v>
      </c>
      <c r="E17" s="4" t="s">
        <v>59</v>
      </c>
      <c r="F17" s="4" t="str">
        <f t="shared" si="0"/>
        <v>紫11</v>
      </c>
      <c r="G17" s="4" t="s">
        <v>65</v>
      </c>
      <c r="H17" s="142"/>
      <c r="I17" s="109" t="s">
        <v>91</v>
      </c>
      <c r="J17" s="140"/>
      <c r="K17" s="39" t="str">
        <f>IFERROR(VLOOKUP(I17,中介表!$A$1:$C$21,2,FALSE),"")</f>
        <v>白无常</v>
      </c>
      <c r="L17" s="139"/>
      <c r="M17" s="39" t="str">
        <f>IFERROR(VLOOKUP(I17,中介表!$A$1:$C$21,3,FALSE),"")</f>
        <v>龙帝</v>
      </c>
      <c r="N17" s="39"/>
      <c r="O17" s="45" t="s">
        <v>2</v>
      </c>
      <c r="P17" s="48" t="s">
        <v>23</v>
      </c>
      <c r="Q17" s="44"/>
      <c r="R17" s="44"/>
      <c r="T17" s="46" t="s">
        <v>148</v>
      </c>
      <c r="V17" s="47" t="s">
        <v>157</v>
      </c>
      <c r="W17" s="46" t="s">
        <v>54</v>
      </c>
      <c r="X17" s="47" t="s">
        <v>160</v>
      </c>
      <c r="Y17" s="125"/>
      <c r="Z17" s="46" t="s">
        <v>53</v>
      </c>
      <c r="AA17" s="46" t="s">
        <v>54</v>
      </c>
      <c r="AB17" s="125"/>
      <c r="AC17" s="46" t="s">
        <v>54</v>
      </c>
      <c r="AD17" s="46" t="s">
        <v>171</v>
      </c>
      <c r="AE17" s="125"/>
      <c r="AF17" s="46" t="s">
        <v>54</v>
      </c>
      <c r="AG17" s="47" t="s">
        <v>157</v>
      </c>
    </row>
    <row r="18" spans="1:48">
      <c r="A18" s="46" t="s">
        <v>149</v>
      </c>
      <c r="B18" s="7">
        <f>COUNTIF($I$2:$I$160,"玉面夫人")</f>
        <v>4</v>
      </c>
      <c r="C18" s="7" t="s">
        <v>18</v>
      </c>
      <c r="D18" s="4">
        <v>11</v>
      </c>
      <c r="E18" s="4" t="s">
        <v>59</v>
      </c>
      <c r="F18" s="4" t="str">
        <f t="shared" si="0"/>
        <v>紫11</v>
      </c>
      <c r="G18" s="4" t="s">
        <v>68</v>
      </c>
      <c r="H18" s="142"/>
      <c r="I18" s="109" t="s">
        <v>138</v>
      </c>
      <c r="J18" s="140"/>
      <c r="K18" s="39" t="str">
        <f>IFERROR(VLOOKUP(I18,中介表!$A$1:$C$21,2,FALSE),"")</f>
        <v>黑无常</v>
      </c>
      <c r="L18" s="139"/>
      <c r="M18" s="39" t="str">
        <f>IFERROR(VLOOKUP(I18,中介表!$A$1:$C$21,3,FALSE),"")</f>
        <v>弥勒佛</v>
      </c>
      <c r="N18" s="39"/>
      <c r="O18" s="45" t="s">
        <v>41</v>
      </c>
      <c r="P18" s="48" t="s">
        <v>23</v>
      </c>
      <c r="Q18" s="39"/>
      <c r="R18" s="39"/>
      <c r="T18" s="46" t="s">
        <v>149</v>
      </c>
      <c r="V18" s="46" t="s">
        <v>55</v>
      </c>
      <c r="W18" s="47" t="s">
        <v>160</v>
      </c>
      <c r="X18" s="46" t="s">
        <v>53</v>
      </c>
      <c r="Y18" s="37"/>
      <c r="Z18" s="46" t="s">
        <v>55</v>
      </c>
      <c r="AA18" s="46" t="s">
        <v>171</v>
      </c>
      <c r="AB18" s="37"/>
      <c r="AC18" s="46" t="s">
        <v>55</v>
      </c>
      <c r="AD18" s="47" t="s">
        <v>157</v>
      </c>
      <c r="AE18" s="125"/>
      <c r="AF18" s="46" t="s">
        <v>53</v>
      </c>
      <c r="AG18" s="46" t="s">
        <v>55</v>
      </c>
    </row>
    <row r="19" spans="1:48">
      <c r="A19" s="46" t="s">
        <v>82</v>
      </c>
      <c r="B19" s="7">
        <f>COUNTIF($I$2:$I$160,"扇子精")</f>
        <v>4</v>
      </c>
      <c r="C19" s="7" t="s">
        <v>18</v>
      </c>
      <c r="D19" s="4">
        <v>11</v>
      </c>
      <c r="E19" s="4" t="s">
        <v>59</v>
      </c>
      <c r="F19" s="4" t="str">
        <f t="shared" si="0"/>
        <v>紫11</v>
      </c>
      <c r="G19" s="4" t="s">
        <v>65</v>
      </c>
      <c r="I19" s="109"/>
      <c r="K19" s="39" t="str">
        <f>IFERROR(VLOOKUP(I19,中介表!$A$1:$C$21,2,FALSE),"")</f>
        <v/>
      </c>
      <c r="L19" s="39"/>
      <c r="M19" s="39" t="str">
        <f>IFERROR(VLOOKUP(I19,中介表!$A$1:$C$21,3,FALSE),"")</f>
        <v/>
      </c>
      <c r="N19" s="39"/>
      <c r="O19" s="45" t="s">
        <v>2</v>
      </c>
      <c r="P19" s="48" t="s">
        <v>169</v>
      </c>
      <c r="Q19" s="39"/>
      <c r="R19" s="39"/>
      <c r="T19" s="46" t="s">
        <v>82</v>
      </c>
      <c r="V19" s="46" t="s">
        <v>173</v>
      </c>
      <c r="W19" s="46" t="s">
        <v>171</v>
      </c>
      <c r="X19" s="37"/>
      <c r="Y19" s="46" t="s">
        <v>54</v>
      </c>
      <c r="Z19" s="46" t="s">
        <v>171</v>
      </c>
      <c r="AA19" s="37"/>
      <c r="AB19" s="46" t="s">
        <v>171</v>
      </c>
      <c r="AC19" s="47" t="s">
        <v>160</v>
      </c>
      <c r="AD19" s="37"/>
      <c r="AE19" s="46" t="s">
        <v>53</v>
      </c>
      <c r="AF19" s="46" t="s">
        <v>171</v>
      </c>
    </row>
    <row r="20" spans="1:48">
      <c r="A20" s="47" t="s">
        <v>158</v>
      </c>
      <c r="B20" s="7">
        <f>COUNTIF($I$2:$I$160,"玉兔")</f>
        <v>4</v>
      </c>
      <c r="C20" s="9" t="s">
        <v>18</v>
      </c>
      <c r="D20" s="35">
        <v>11</v>
      </c>
      <c r="E20" s="4" t="s">
        <v>59</v>
      </c>
      <c r="F20" s="35" t="str">
        <f t="shared" si="0"/>
        <v>紫11</v>
      </c>
      <c r="G20" s="35" t="s">
        <v>67</v>
      </c>
      <c r="H20" s="142" t="s">
        <v>807</v>
      </c>
      <c r="I20" s="109" t="s">
        <v>165</v>
      </c>
      <c r="J20" s="140" t="s">
        <v>562</v>
      </c>
      <c r="K20" s="39" t="str">
        <f>IFERROR(VLOOKUP(I20,中介表!$A$1:$C$21,2,FALSE),"")</f>
        <v>二郎神</v>
      </c>
      <c r="L20" s="139" t="s">
        <v>598</v>
      </c>
      <c r="M20" s="39" t="str">
        <f>IFERROR(VLOOKUP(I20,中介表!$A$1:$C$21,3,FALSE),"")</f>
        <v>斗战胜佛</v>
      </c>
      <c r="N20" s="39"/>
      <c r="O20" s="45" t="s">
        <v>41</v>
      </c>
      <c r="P20" s="48" t="s">
        <v>169</v>
      </c>
      <c r="Q20" s="39"/>
      <c r="R20" s="39"/>
      <c r="T20" s="47" t="s">
        <v>158</v>
      </c>
      <c r="V20" s="47" t="s">
        <v>157</v>
      </c>
      <c r="W20" s="46" t="s">
        <v>54</v>
      </c>
      <c r="X20" s="47" t="s">
        <v>160</v>
      </c>
      <c r="Y20" s="125"/>
      <c r="Z20" s="47" t="s">
        <v>157</v>
      </c>
      <c r="AA20" s="47" t="s">
        <v>160</v>
      </c>
      <c r="AB20" s="125"/>
      <c r="AC20" s="46" t="s">
        <v>55</v>
      </c>
      <c r="AD20" s="47" t="s">
        <v>157</v>
      </c>
      <c r="AE20" s="125"/>
      <c r="AF20" s="46" t="s">
        <v>54</v>
      </c>
      <c r="AG20" s="47" t="s">
        <v>157</v>
      </c>
    </row>
    <row r="21" spans="1:48">
      <c r="A21" s="47" t="s">
        <v>161</v>
      </c>
      <c r="B21" s="7">
        <f>COUNTIF($I$2:$I$160,"蟹将")</f>
        <v>4</v>
      </c>
      <c r="C21" s="9" t="s">
        <v>18</v>
      </c>
      <c r="D21" s="35">
        <v>11</v>
      </c>
      <c r="E21" s="4" t="s">
        <v>59</v>
      </c>
      <c r="F21" s="35" t="str">
        <f t="shared" si="0"/>
        <v>紫11</v>
      </c>
      <c r="G21" s="35" t="s">
        <v>67</v>
      </c>
      <c r="H21" s="142"/>
      <c r="I21" s="109" t="s">
        <v>166</v>
      </c>
      <c r="J21" s="140"/>
      <c r="K21" s="39" t="str">
        <f>IFERROR(VLOOKUP(I21,中介表!$A$1:$C$21,2,FALSE),"")</f>
        <v>九天玄女</v>
      </c>
      <c r="L21" s="139"/>
      <c r="M21" s="39" t="str">
        <f>IFERROR(VLOOKUP(I21,中介表!$A$1:$C$21,3,FALSE),"")</f>
        <v>文殊菩萨</v>
      </c>
      <c r="N21" s="39"/>
      <c r="O21" s="45" t="s">
        <v>2</v>
      </c>
      <c r="P21" s="45" t="s">
        <v>41</v>
      </c>
      <c r="Q21" s="39"/>
      <c r="R21" s="39"/>
      <c r="T21" s="47" t="s">
        <v>161</v>
      </c>
      <c r="V21" s="46" t="s">
        <v>55</v>
      </c>
      <c r="W21" s="47" t="s">
        <v>160</v>
      </c>
      <c r="X21" s="46" t="s">
        <v>53</v>
      </c>
      <c r="Y21" s="37"/>
      <c r="Z21" s="47" t="s">
        <v>157</v>
      </c>
      <c r="AA21" s="46" t="s">
        <v>54</v>
      </c>
      <c r="AB21" s="47" t="s">
        <v>160</v>
      </c>
      <c r="AC21" s="37"/>
      <c r="AD21" s="47" t="s">
        <v>157</v>
      </c>
      <c r="AE21" s="47" t="s">
        <v>160</v>
      </c>
      <c r="AG21" s="46" t="s">
        <v>171</v>
      </c>
      <c r="AH21" s="47" t="s">
        <v>160</v>
      </c>
    </row>
    <row r="22" spans="1:48">
      <c r="A22" s="118" t="s">
        <v>30</v>
      </c>
      <c r="B22" s="118"/>
      <c r="C22" s="118" t="s">
        <v>11</v>
      </c>
      <c r="D22" s="5">
        <v>20</v>
      </c>
      <c r="E22" s="5" t="s">
        <v>58</v>
      </c>
      <c r="F22" s="5" t="str">
        <f t="shared" si="0"/>
        <v>橙20</v>
      </c>
      <c r="G22" s="5" t="s">
        <v>66</v>
      </c>
      <c r="I22" s="109"/>
      <c r="K22" s="39" t="str">
        <f>IFERROR(VLOOKUP(I22,中介表!$A$1:$C$21,2,FALSE),"")</f>
        <v/>
      </c>
      <c r="L22" s="39"/>
      <c r="M22" s="39" t="str">
        <f>IFERROR(VLOOKUP(I22,中介表!$A$1:$C$21,3,FALSE),"")</f>
        <v/>
      </c>
      <c r="N22" s="39"/>
      <c r="O22" s="45" t="s">
        <v>394</v>
      </c>
      <c r="P22" s="48" t="s">
        <v>47</v>
      </c>
      <c r="Q22" s="39"/>
      <c r="R22" s="39"/>
      <c r="T22" s="118" t="s">
        <v>30</v>
      </c>
      <c r="U22" s="41"/>
      <c r="V22" s="124" t="str">
        <f>IFERROR(VLOOKUP(V2,中介表!$A$1:$C$21,2,FALSE),"")</f>
        <v>二郎神</v>
      </c>
      <c r="W22" s="124" t="str">
        <f>IFERROR(VLOOKUP(W2,中介表!$A$1:$C$21,2,FALSE),"")</f>
        <v>王母娘娘</v>
      </c>
      <c r="X22" s="124" t="str">
        <f>IFERROR(VLOOKUP(X2,中介表!$A$1:$C$21,2,FALSE),"")</f>
        <v>黑无常</v>
      </c>
      <c r="Y22" s="124" t="str">
        <f>IFERROR(VLOOKUP(Y2,中介表!$A$1:$C$21,2,FALSE),"")</f>
        <v>九天玄女</v>
      </c>
      <c r="Z22" s="124" t="str">
        <f>IFERROR(VLOOKUP(Z2,中介表!$A$1:$C$21,2,FALSE),"")</f>
        <v/>
      </c>
      <c r="AA22" s="124" t="str">
        <f>IFERROR(VLOOKUP(AA2,中介表!$A$1:$C$21,2,FALSE),"")</f>
        <v>二郎神</v>
      </c>
      <c r="AB22" s="124" t="str">
        <f>IFERROR(VLOOKUP(AB2,中介表!$A$1:$C$21,2,FALSE),"")</f>
        <v>王母娘娘</v>
      </c>
      <c r="AC22" s="124" t="str">
        <f>IFERROR(VLOOKUP(AC2,中介表!$A$1:$C$21,2,FALSE),"")</f>
        <v>托塔天王</v>
      </c>
      <c r="AD22" s="124" t="str">
        <f>IFERROR(VLOOKUP(AD2,中介表!$A$1:$C$21,2,FALSE),"")</f>
        <v/>
      </c>
      <c r="AE22" s="124" t="str">
        <f>IFERROR(VLOOKUP(AE2,中介表!$A$1:$C$21,2,FALSE),"")</f>
        <v>二郎神</v>
      </c>
      <c r="AF22" s="124" t="str">
        <f>IFERROR(VLOOKUP(AF2,中介表!$A$1:$C$21,2,FALSE),"")</f>
        <v>九天玄女</v>
      </c>
      <c r="AG22" s="124" t="str">
        <f>IFERROR(VLOOKUP(AG2,中介表!$A$1:$C$21,2,FALSE),"")</f>
        <v/>
      </c>
      <c r="AH22" s="124" t="str">
        <f>IFERROR(VLOOKUP(AH2,中介表!$A$1:$C$21,2,FALSE),"")</f>
        <v>二郎神</v>
      </c>
      <c r="AI22" s="124" t="str">
        <f>IFERROR(VLOOKUP(AI2,中介表!$A$1:$C$21,2,FALSE),"")</f>
        <v>玉皇大帝</v>
      </c>
      <c r="AJ22" s="124" t="str">
        <f>IFERROR(VLOOKUP(AJ2,中介表!$A$1:$C$21,2,FALSE),"")</f>
        <v/>
      </c>
      <c r="AK22" s="124" t="str">
        <f>IFERROR(VLOOKUP(AK2,中介表!$A$1:$C$21,2,FALSE),"")</f>
        <v>二郎神</v>
      </c>
      <c r="AL22" s="124" t="str">
        <f>IFERROR(VLOOKUP(AL2,中介表!$A$1:$C$21,2,FALSE),"")</f>
        <v>小白龙</v>
      </c>
      <c r="AM22" s="124" t="str">
        <f>IFERROR(VLOOKUP(AM2,中介表!$A$1:$C$21,2,FALSE),"")</f>
        <v/>
      </c>
      <c r="AN22" s="124" t="str">
        <f>IFERROR(VLOOKUP(AN2,中介表!$A$1:$C$21,2,FALSE),"")</f>
        <v>二郎神</v>
      </c>
      <c r="AO22" s="124" t="str">
        <f>IFERROR(VLOOKUP(AO2,中介表!$A$1:$C$21,2,FALSE),"")</f>
        <v>赤脚大仙</v>
      </c>
      <c r="AP22" s="124" t="str">
        <f>IFERROR(VLOOKUP(AP2,中介表!$A$1:$C$21,2,FALSE),"")</f>
        <v/>
      </c>
      <c r="AQ22" s="124" t="str">
        <f>IFERROR(VLOOKUP(AQ2,中介表!$A$1:$C$21,2,FALSE),"")</f>
        <v/>
      </c>
      <c r="AR22" s="41" t="str">
        <f>IFERROR(VLOOKUP(AR2,中介表!$A$1:$C$21,2,FALSE),"")</f>
        <v/>
      </c>
      <c r="AS22" s="41" t="str">
        <f>IFERROR(VLOOKUP(AS2,中介表!$A$1:$C$21,2,FALSE),"")</f>
        <v/>
      </c>
      <c r="AT22" s="40"/>
      <c r="AU22" s="40"/>
      <c r="AV22" s="40"/>
    </row>
    <row r="23" spans="1:48">
      <c r="A23" s="118" t="s">
        <v>14</v>
      </c>
      <c r="B23" s="118"/>
      <c r="C23" s="118" t="s">
        <v>11</v>
      </c>
      <c r="D23" s="5">
        <v>20</v>
      </c>
      <c r="E23" s="5" t="s">
        <v>58</v>
      </c>
      <c r="F23" s="5" t="str">
        <f t="shared" si="0"/>
        <v>橙20</v>
      </c>
      <c r="G23" s="5" t="s">
        <v>66</v>
      </c>
      <c r="H23" s="142" t="s">
        <v>811</v>
      </c>
      <c r="I23" s="109" t="s">
        <v>139</v>
      </c>
      <c r="J23" s="140" t="s">
        <v>567</v>
      </c>
      <c r="K23" s="39" t="str">
        <f>IFERROR(VLOOKUP(I23,中介表!$A$1:$C$21,2,FALSE),"")</f>
        <v>王母娘娘</v>
      </c>
      <c r="L23" s="139" t="s">
        <v>599</v>
      </c>
      <c r="M23" s="39" t="str">
        <f>IFERROR(VLOOKUP(I23,中介表!$A$1:$C$21,3,FALSE),"")</f>
        <v>紫霞仙子</v>
      </c>
      <c r="N23" s="39"/>
      <c r="O23" s="45" t="s">
        <v>3</v>
      </c>
      <c r="P23" s="48" t="s">
        <v>47</v>
      </c>
      <c r="Q23" s="39"/>
      <c r="R23" s="39"/>
      <c r="T23" s="118" t="s">
        <v>14</v>
      </c>
      <c r="U23" s="41"/>
      <c r="V23" s="124" t="str">
        <f>IFERROR(VLOOKUP(V3,中介表!$A$1:$C$21,2,FALSE),"")</f>
        <v>二郎神</v>
      </c>
      <c r="W23" s="124" t="str">
        <f>IFERROR(VLOOKUP(W3,中介表!$A$1:$C$21,2,FALSE),"")</f>
        <v>王母娘娘</v>
      </c>
      <c r="X23" s="124" t="str">
        <f>IFERROR(VLOOKUP(X3,中介表!$A$1:$C$21,2,FALSE),"")</f>
        <v>黑无常</v>
      </c>
      <c r="Y23" s="124" t="str">
        <f>IFERROR(VLOOKUP(Y3,中介表!$A$1:$C$21,2,FALSE),"")</f>
        <v>九天玄女</v>
      </c>
      <c r="Z23" s="124" t="str">
        <f>IFERROR(VLOOKUP(Z3,中介表!$A$1:$C$21,2,FALSE),"")</f>
        <v/>
      </c>
      <c r="AA23" s="124" t="str">
        <f>IFERROR(VLOOKUP(AA3,中介表!$A$1:$C$21,2,FALSE),"")</f>
        <v>二郎神</v>
      </c>
      <c r="AB23" s="124" t="str">
        <f>IFERROR(VLOOKUP(AB3,中介表!$A$1:$C$21,2,FALSE),"")</f>
        <v>王母娘娘</v>
      </c>
      <c r="AC23" s="124" t="str">
        <f>IFERROR(VLOOKUP(AC3,中介表!$A$1:$C$21,2,FALSE),"")</f>
        <v>托塔天王</v>
      </c>
      <c r="AD23" s="124" t="str">
        <f>IFERROR(VLOOKUP(AD3,中介表!$A$1:$C$21,2,FALSE),"")</f>
        <v/>
      </c>
      <c r="AE23" s="124" t="str">
        <f>IFERROR(VLOOKUP(AE3,中介表!$A$1:$C$21,2,FALSE),"")</f>
        <v>王母娘娘</v>
      </c>
      <c r="AF23" s="124" t="str">
        <f>IFERROR(VLOOKUP(AF3,中介表!$A$1:$C$21,2,FALSE),"")</f>
        <v>九天玄女</v>
      </c>
      <c r="AG23" s="124" t="str">
        <f>IFERROR(VLOOKUP(AG3,中介表!$A$1:$C$21,2,FALSE),"")</f>
        <v/>
      </c>
      <c r="AH23" s="124" t="str">
        <f>IFERROR(VLOOKUP(AH3,中介表!$A$1:$C$21,2,FALSE),"")</f>
        <v>王母娘娘</v>
      </c>
      <c r="AI23" s="124" t="str">
        <f>IFERROR(VLOOKUP(AI3,中介表!$A$1:$C$21,2,FALSE),"")</f>
        <v>阎罗王</v>
      </c>
      <c r="AJ23" s="124" t="str">
        <f>IFERROR(VLOOKUP(AJ3,中介表!$A$1:$C$21,2,FALSE),"")</f>
        <v/>
      </c>
      <c r="AK23" s="124" t="str">
        <f>IFERROR(VLOOKUP(AK3,中介表!$A$1:$C$21,2,FALSE),"")</f>
        <v>王母娘娘</v>
      </c>
      <c r="AL23" s="124" t="str">
        <f>IFERROR(VLOOKUP(AL3,中介表!$A$1:$C$21,2,FALSE),"")</f>
        <v>太白金星</v>
      </c>
      <c r="AM23" s="124" t="str">
        <f>IFERROR(VLOOKUP(AM3,中介表!$A$1:$C$21,2,FALSE),"")</f>
        <v/>
      </c>
      <c r="AN23" s="124" t="str">
        <f>IFERROR(VLOOKUP(AN3,中介表!$A$1:$C$21,2,FALSE),"")</f>
        <v>王母娘娘</v>
      </c>
      <c r="AO23" s="124" t="str">
        <f>IFERROR(VLOOKUP(AO3,中介表!$A$1:$C$21,2,FALSE),"")</f>
        <v>东海龙王</v>
      </c>
      <c r="AP23" s="124" t="str">
        <f>IFERROR(VLOOKUP(AP3,中介表!$A$1:$C$21,2,FALSE),"")</f>
        <v/>
      </c>
      <c r="AQ23" s="124" t="str">
        <f>IFERROR(VLOOKUP(AQ3,中介表!$A$1:$C$21,2,FALSE),"")</f>
        <v/>
      </c>
      <c r="AR23" s="41" t="str">
        <f>IFERROR(VLOOKUP(AR3,中介表!$A$1:$C$21,2,FALSE),"")</f>
        <v/>
      </c>
      <c r="AS23" s="41" t="str">
        <f>IFERROR(VLOOKUP(AS3,中介表!$A$1:$C$21,2,FALSE),"")</f>
        <v/>
      </c>
      <c r="AT23" s="40"/>
      <c r="AU23" s="40"/>
      <c r="AV23" s="40"/>
    </row>
    <row r="24" spans="1:48">
      <c r="A24" s="8" t="s">
        <v>31</v>
      </c>
      <c r="B24" s="8"/>
      <c r="C24" s="8" t="s">
        <v>11</v>
      </c>
      <c r="D24" s="5">
        <v>16</v>
      </c>
      <c r="E24" s="5" t="s">
        <v>58</v>
      </c>
      <c r="F24" s="5" t="str">
        <f t="shared" si="0"/>
        <v>橙16</v>
      </c>
      <c r="G24" s="5" t="s">
        <v>65</v>
      </c>
      <c r="H24" s="142"/>
      <c r="I24" s="109" t="s">
        <v>166</v>
      </c>
      <c r="J24" s="140"/>
      <c r="K24" s="39" t="str">
        <f>IFERROR(VLOOKUP(I24,中介表!$A$1:$C$21,2,FALSE),"")</f>
        <v>九天玄女</v>
      </c>
      <c r="L24" s="139"/>
      <c r="M24" s="39" t="str">
        <f>IFERROR(VLOOKUP(I24,中介表!$A$1:$C$21,3,FALSE),"")</f>
        <v>文殊菩萨</v>
      </c>
      <c r="N24" s="39"/>
      <c r="O24" s="45" t="s">
        <v>46</v>
      </c>
      <c r="P24" s="48" t="s">
        <v>16</v>
      </c>
      <c r="Q24" s="39"/>
      <c r="R24" s="39"/>
      <c r="T24" s="8" t="s">
        <v>31</v>
      </c>
      <c r="U24" s="41"/>
      <c r="V24" s="124" t="str">
        <f>IFERROR(VLOOKUP(V4,中介表!$A$1:$C$21,2,FALSE),"")</f>
        <v>哪吒</v>
      </c>
      <c r="W24" s="124" t="str">
        <f>IFERROR(VLOOKUP(W4,中介表!$A$1:$C$21,2,FALSE),"")</f>
        <v>白无常</v>
      </c>
      <c r="X24" s="124" t="str">
        <f>IFERROR(VLOOKUP(X4,中介表!$A$1:$C$21,2,FALSE),"")</f>
        <v>托塔天王</v>
      </c>
      <c r="Y24" s="124" t="str">
        <f>IFERROR(VLOOKUP(Y4,中介表!$A$1:$C$21,2,FALSE),"")</f>
        <v>嫦娥</v>
      </c>
      <c r="Z24" s="124" t="str">
        <f>IFERROR(VLOOKUP(Z4,中介表!$A$1:$C$21,2,FALSE),"")</f>
        <v/>
      </c>
      <c r="AA24" s="124" t="str">
        <f>IFERROR(VLOOKUP(AA4,中介表!$A$1:$C$21,2,FALSE),"")</f>
        <v>哪吒</v>
      </c>
      <c r="AB24" s="124" t="str">
        <f>IFERROR(VLOOKUP(AB4,中介表!$A$1:$C$21,2,FALSE),"")</f>
        <v>白无常</v>
      </c>
      <c r="AC24" s="124" t="str">
        <f>IFERROR(VLOOKUP(AC4,中介表!$A$1:$C$21,2,FALSE),"")</f>
        <v>黑无常</v>
      </c>
      <c r="AD24" s="124" t="str">
        <f>IFERROR(VLOOKUP(AD4,中介表!$A$1:$C$21,2,FALSE),"")</f>
        <v/>
      </c>
      <c r="AE24" s="124" t="str">
        <f>IFERROR(VLOOKUP(AE4,中介表!$A$1:$C$21,2,FALSE),"")</f>
        <v>哪吒</v>
      </c>
      <c r="AF24" s="124" t="str">
        <f>IFERROR(VLOOKUP(AF4,中介表!$A$1:$C$21,2,FALSE),"")</f>
        <v>嫦娥</v>
      </c>
      <c r="AG24" s="124" t="str">
        <f>IFERROR(VLOOKUP(AG4,中介表!$A$1:$C$21,2,FALSE),"")</f>
        <v/>
      </c>
      <c r="AH24" s="124" t="str">
        <f>IFERROR(VLOOKUP(AH4,中介表!$A$1:$C$21,2,FALSE),"")</f>
        <v>哪吒</v>
      </c>
      <c r="AI24" s="124" t="str">
        <f>IFERROR(VLOOKUP(AI4,中介表!$A$1:$C$21,2,FALSE),"")</f>
        <v>玉皇大帝</v>
      </c>
      <c r="AJ24" s="124" t="str">
        <f>IFERROR(VLOOKUP(AJ4,中介表!$A$1:$C$21,2,FALSE),"")</f>
        <v/>
      </c>
      <c r="AK24" s="124" t="str">
        <f>IFERROR(VLOOKUP(AK4,中介表!$A$1:$C$21,2,FALSE),"")</f>
        <v>哪吒</v>
      </c>
      <c r="AL24" s="124" t="str">
        <f>IFERROR(VLOOKUP(AL4,中介表!$A$1:$C$21,2,FALSE),"")</f>
        <v>小白龙</v>
      </c>
      <c r="AM24" s="124" t="str">
        <f>IFERROR(VLOOKUP(AM4,中介表!$A$1:$C$21,2,FALSE),"")</f>
        <v/>
      </c>
      <c r="AN24" s="124" t="str">
        <f>IFERROR(VLOOKUP(AN4,中介表!$A$1:$C$21,2,FALSE),"")</f>
        <v>哪吒</v>
      </c>
      <c r="AO24" s="124" t="str">
        <f>IFERROR(VLOOKUP(AO4,中介表!$A$1:$C$21,2,FALSE),"")</f>
        <v>太白金星</v>
      </c>
      <c r="AP24" s="124" t="str">
        <f>IFERROR(VLOOKUP(AP4,中介表!$A$1:$C$21,2,FALSE),"")</f>
        <v/>
      </c>
      <c r="AQ24" s="124" t="str">
        <f>IFERROR(VLOOKUP(AQ4,中介表!$A$1:$C$21,2,FALSE),"")</f>
        <v/>
      </c>
      <c r="AR24" s="41" t="str">
        <f>IFERROR(VLOOKUP(AR4,中介表!$A$1:$C$21,2,FALSE),"")</f>
        <v/>
      </c>
      <c r="AS24" s="41" t="str">
        <f>IFERROR(VLOOKUP(AS4,中介表!$A$1:$C$21,2,FALSE),"")</f>
        <v/>
      </c>
      <c r="AT24" s="40"/>
      <c r="AU24" s="40"/>
      <c r="AV24" s="40"/>
    </row>
    <row r="25" spans="1:48">
      <c r="A25" s="8" t="s">
        <v>38</v>
      </c>
      <c r="B25" s="8"/>
      <c r="C25" s="8" t="s">
        <v>11</v>
      </c>
      <c r="D25" s="5">
        <v>16</v>
      </c>
      <c r="E25" s="5" t="s">
        <v>58</v>
      </c>
      <c r="F25" s="5" t="str">
        <f t="shared" si="0"/>
        <v>橙16</v>
      </c>
      <c r="G25" s="5" t="s">
        <v>65</v>
      </c>
      <c r="I25" s="109"/>
      <c r="K25" s="39" t="str">
        <f>IFERROR(VLOOKUP(I25,中介表!$A$1:$C$21,2,FALSE),"")</f>
        <v/>
      </c>
      <c r="L25" s="39"/>
      <c r="M25" s="39" t="str">
        <f>IFERROR(VLOOKUP(I25,中介表!$A$1:$C$21,3,FALSE),"")</f>
        <v/>
      </c>
      <c r="N25" s="39"/>
      <c r="O25" s="45" t="s">
        <v>168</v>
      </c>
      <c r="P25" s="48" t="s">
        <v>16</v>
      </c>
      <c r="Q25" s="39"/>
      <c r="R25" s="39"/>
      <c r="T25" s="8" t="s">
        <v>38</v>
      </c>
      <c r="U25" s="41"/>
      <c r="V25" s="124" t="str">
        <f>IFERROR(VLOOKUP(V5,中介表!$A$1:$C$21,2,FALSE),"")</f>
        <v>哪吒</v>
      </c>
      <c r="W25" s="124" t="str">
        <f>IFERROR(VLOOKUP(W5,中介表!$A$1:$C$21,2,FALSE),"")</f>
        <v>白无常</v>
      </c>
      <c r="X25" s="124" t="str">
        <f>IFERROR(VLOOKUP(X5,中介表!$A$1:$C$21,2,FALSE),"")</f>
        <v>托塔天王</v>
      </c>
      <c r="Y25" s="124" t="str">
        <f>IFERROR(VLOOKUP(Y5,中介表!$A$1:$C$21,2,FALSE),"")</f>
        <v>嫦娥</v>
      </c>
      <c r="Z25" s="124" t="str">
        <f>IFERROR(VLOOKUP(Z5,中介表!$A$1:$C$21,2,FALSE),"")</f>
        <v/>
      </c>
      <c r="AA25" s="124" t="str">
        <f>IFERROR(VLOOKUP(AA5,中介表!$A$1:$C$21,2,FALSE),"")</f>
        <v>哪吒</v>
      </c>
      <c r="AB25" s="124" t="str">
        <f>IFERROR(VLOOKUP(AB5,中介表!$A$1:$C$21,2,FALSE),"")</f>
        <v>白无常</v>
      </c>
      <c r="AC25" s="124" t="str">
        <f>IFERROR(VLOOKUP(AC5,中介表!$A$1:$C$21,2,FALSE),"")</f>
        <v>黑无常</v>
      </c>
      <c r="AD25" s="124" t="str">
        <f>IFERROR(VLOOKUP(AD5,中介表!$A$1:$C$21,2,FALSE),"")</f>
        <v/>
      </c>
      <c r="AE25" s="124" t="str">
        <f>IFERROR(VLOOKUP(AE5,中介表!$A$1:$C$21,2,FALSE),"")</f>
        <v>白无常</v>
      </c>
      <c r="AF25" s="124" t="str">
        <f>IFERROR(VLOOKUP(AF5,中介表!$A$1:$C$21,2,FALSE),"")</f>
        <v>嫦娥</v>
      </c>
      <c r="AG25" s="124" t="str">
        <f>IFERROR(VLOOKUP(AG5,中介表!$A$1:$C$21,2,FALSE),"")</f>
        <v/>
      </c>
      <c r="AH25" s="124" t="str">
        <f>IFERROR(VLOOKUP(AH5,中介表!$A$1:$C$21,2,FALSE),"")</f>
        <v>白无常</v>
      </c>
      <c r="AI25" s="124" t="str">
        <f>IFERROR(VLOOKUP(AI5,中介表!$A$1:$C$21,2,FALSE),"")</f>
        <v>阎罗王</v>
      </c>
      <c r="AJ25" s="124" t="str">
        <f>IFERROR(VLOOKUP(AJ5,中介表!$A$1:$C$21,2,FALSE),"")</f>
        <v/>
      </c>
      <c r="AK25" s="124" t="str">
        <f>IFERROR(VLOOKUP(AK5,中介表!$A$1:$C$21,2,FALSE),"")</f>
        <v>白无常</v>
      </c>
      <c r="AL25" s="124" t="str">
        <f>IFERROR(VLOOKUP(AL5,中介表!$A$1:$C$21,2,FALSE),"")</f>
        <v>太白金星</v>
      </c>
      <c r="AM25" s="124" t="str">
        <f>IFERROR(VLOOKUP(AM5,中介表!$A$1:$C$21,2,FALSE),"")</f>
        <v/>
      </c>
      <c r="AN25" s="124" t="str">
        <f>IFERROR(VLOOKUP(AN5,中介表!$A$1:$C$21,2,FALSE),"")</f>
        <v>白无常</v>
      </c>
      <c r="AO25" s="124" t="str">
        <f>IFERROR(VLOOKUP(AO5,中介表!$A$1:$C$21,2,FALSE),"")</f>
        <v>玉皇大帝</v>
      </c>
      <c r="AP25" s="124" t="str">
        <f>IFERROR(VLOOKUP(AP5,中介表!$A$1:$C$21,2,FALSE),"")</f>
        <v/>
      </c>
      <c r="AQ25" s="124" t="str">
        <f>IFERROR(VLOOKUP(AQ5,中介表!$A$1:$C$21,2,FALSE),"")</f>
        <v/>
      </c>
      <c r="AR25" s="41" t="str">
        <f>IFERROR(VLOOKUP(AR5,中介表!$A$1:$C$21,2,FALSE),"")</f>
        <v/>
      </c>
      <c r="AS25" s="41" t="str">
        <f>IFERROR(VLOOKUP(AS5,中介表!$A$1:$C$21,2,FALSE),"")</f>
        <v/>
      </c>
      <c r="AT25" s="40"/>
      <c r="AU25" s="40"/>
      <c r="AV25" s="40"/>
    </row>
    <row r="26" spans="1:48">
      <c r="A26" s="111" t="s">
        <v>37</v>
      </c>
      <c r="B26" s="8"/>
      <c r="C26" s="8" t="s">
        <v>156</v>
      </c>
      <c r="D26" s="5">
        <v>16</v>
      </c>
      <c r="E26" s="5" t="s">
        <v>58</v>
      </c>
      <c r="F26" s="5" t="str">
        <f>C26&amp;D26</f>
        <v>橙16</v>
      </c>
      <c r="G26" s="5" t="s">
        <v>63</v>
      </c>
      <c r="H26" s="142" t="s">
        <v>813</v>
      </c>
      <c r="I26" s="109" t="s">
        <v>137</v>
      </c>
      <c r="J26" s="140" t="s">
        <v>569</v>
      </c>
      <c r="K26" s="39" t="str">
        <f>IFERROR(VLOOKUP(I26,中介表!$A$1:$C$21,2,FALSE),"")</f>
        <v>哪吒</v>
      </c>
      <c r="L26" s="139" t="s">
        <v>600</v>
      </c>
      <c r="M26" s="39" t="str">
        <f>IFERROR(VLOOKUP(I26,中介表!$A$1:$C$21,3,FALSE),"")</f>
        <v>八部天龙</v>
      </c>
      <c r="N26" s="39"/>
      <c r="O26" s="45" t="s">
        <v>0</v>
      </c>
      <c r="P26" s="48" t="s">
        <v>27</v>
      </c>
      <c r="Q26" s="39"/>
      <c r="R26" s="39"/>
      <c r="T26" s="111" t="s">
        <v>37</v>
      </c>
      <c r="U26" s="41"/>
      <c r="V26" s="124" t="str">
        <f>IFERROR(VLOOKUP(V6,中介表!$A$1:$C$21,2,FALSE),"")</f>
        <v>二郎神</v>
      </c>
      <c r="W26" s="124" t="str">
        <f>IFERROR(VLOOKUP(W6,中介表!$A$1:$C$21,2,FALSE),"")</f>
        <v>王母娘娘</v>
      </c>
      <c r="X26" s="124" t="str">
        <f>IFERROR(VLOOKUP(X6,中介表!$A$1:$C$21,2,FALSE),"")</f>
        <v>黑无常</v>
      </c>
      <c r="Y26" s="124" t="str">
        <f>IFERROR(VLOOKUP(Y6,中介表!$A$1:$C$21,2,FALSE),"")</f>
        <v>九天玄女</v>
      </c>
      <c r="Z26" s="124" t="str">
        <f>IFERROR(VLOOKUP(Z6,中介表!$A$1:$C$21,2,FALSE),"")</f>
        <v/>
      </c>
      <c r="AA26" s="124" t="str">
        <f>IFERROR(VLOOKUP(AA6,中介表!$A$1:$C$21,2,FALSE),"")</f>
        <v>哪吒</v>
      </c>
      <c r="AB26" s="124" t="str">
        <f>IFERROR(VLOOKUP(AB6,中介表!$A$1:$C$21,2,FALSE),"")</f>
        <v>白无常</v>
      </c>
      <c r="AC26" s="124" t="str">
        <f>IFERROR(VLOOKUP(AC6,中介表!$A$1:$C$21,2,FALSE),"")</f>
        <v>黑无常</v>
      </c>
      <c r="AD26" s="124" t="str">
        <f>IFERROR(VLOOKUP(AD6,中介表!$A$1:$C$21,2,FALSE),"")</f>
        <v/>
      </c>
      <c r="AE26" s="124" t="str">
        <f>IFERROR(VLOOKUP(AE6,中介表!$A$1:$C$21,2,FALSE),"")</f>
        <v>黑无常</v>
      </c>
      <c r="AF26" s="124" t="str">
        <f>IFERROR(VLOOKUP(AF6,中介表!$A$1:$C$21,2,FALSE),"")</f>
        <v>九天玄女</v>
      </c>
      <c r="AG26" s="124" t="str">
        <f>IFERROR(VLOOKUP(AG6,中介表!$A$1:$C$21,2,FALSE),"")</f>
        <v>嫦娥</v>
      </c>
      <c r="AH26" s="124" t="str">
        <f>IFERROR(VLOOKUP(AH6,中介表!$A$1:$C$21,2,FALSE),"")</f>
        <v/>
      </c>
      <c r="AI26" s="124" t="str">
        <f>IFERROR(VLOOKUP(AI6,中介表!$A$1:$C$21,2,FALSE),"")</f>
        <v>黑无常</v>
      </c>
      <c r="AJ26" s="124" t="str">
        <f>IFERROR(VLOOKUP(AJ6,中介表!$A$1:$C$21,2,FALSE),"")</f>
        <v>赤脚大仙</v>
      </c>
      <c r="AK26" s="124" t="str">
        <f>IFERROR(VLOOKUP(AK6,中介表!$A$1:$C$21,2,FALSE),"")</f>
        <v/>
      </c>
      <c r="AL26" s="124" t="str">
        <f>IFERROR(VLOOKUP(AL6,中介表!$A$1:$C$21,2,FALSE),"")</f>
        <v>黑无常</v>
      </c>
      <c r="AM26" s="124" t="str">
        <f>IFERROR(VLOOKUP(AM6,中介表!$A$1:$C$21,2,FALSE),"")</f>
        <v>东海龙王</v>
      </c>
      <c r="AN26" s="124" t="str">
        <f>IFERROR(VLOOKUP(AN6,中介表!$A$1:$C$21,2,FALSE),"")</f>
        <v/>
      </c>
      <c r="AO26" s="124" t="str">
        <f>IFERROR(VLOOKUP(AO6,中介表!$A$1:$C$21,2,FALSE),"")</f>
        <v>托塔天王</v>
      </c>
      <c r="AP26" s="124" t="str">
        <f>IFERROR(VLOOKUP(AP6,中介表!$A$1:$C$21,2,FALSE),"")</f>
        <v>黑无常</v>
      </c>
      <c r="AQ26" s="124" t="str">
        <f>IFERROR(VLOOKUP(AQ6,中介表!$A$1:$C$21,2,FALSE),"")</f>
        <v/>
      </c>
      <c r="AR26" s="41" t="str">
        <f>IFERROR(VLOOKUP(AR6,中介表!$A$1:$C$21,2,FALSE),"")</f>
        <v/>
      </c>
      <c r="AS26" s="41" t="str">
        <f>IFERROR(VLOOKUP(AS6,中介表!$A$1:$C$21,2,FALSE),"")</f>
        <v/>
      </c>
      <c r="AT26" s="40"/>
      <c r="AU26" s="40"/>
      <c r="AV26" s="40"/>
    </row>
    <row r="27" spans="1:48">
      <c r="A27" s="111" t="s">
        <v>34</v>
      </c>
      <c r="B27" s="8"/>
      <c r="C27" s="8" t="s">
        <v>11</v>
      </c>
      <c r="D27" s="5">
        <v>16</v>
      </c>
      <c r="E27" s="5" t="s">
        <v>58</v>
      </c>
      <c r="F27" s="5" t="str">
        <f t="shared" si="0"/>
        <v>橙16</v>
      </c>
      <c r="G27" s="5" t="s">
        <v>63</v>
      </c>
      <c r="H27" s="142"/>
      <c r="I27" s="109" t="s">
        <v>167</v>
      </c>
      <c r="J27" s="140"/>
      <c r="K27" s="39" t="str">
        <f>IFERROR(VLOOKUP(I27,中介表!$A$1:$C$21,2,FALSE),"")</f>
        <v>嫦娥</v>
      </c>
      <c r="L27" s="139"/>
      <c r="M27" s="39" t="str">
        <f>IFERROR(VLOOKUP(I27,中介表!$A$1:$C$21,3,FALSE),"")</f>
        <v>观世音</v>
      </c>
      <c r="N27" s="39"/>
      <c r="O27" s="45" t="s">
        <v>3</v>
      </c>
      <c r="P27" s="48" t="s">
        <v>27</v>
      </c>
      <c r="Q27" s="39"/>
      <c r="R27" s="39"/>
      <c r="T27" s="111" t="s">
        <v>34</v>
      </c>
      <c r="U27" s="41"/>
      <c r="V27" s="124" t="str">
        <f>IFERROR(VLOOKUP(V7,中介表!$A$1:$C$21,2,FALSE),"")</f>
        <v>哪吒</v>
      </c>
      <c r="W27" s="124" t="str">
        <f>IFERROR(VLOOKUP(W7,中介表!$A$1:$C$21,2,FALSE),"")</f>
        <v>白无常</v>
      </c>
      <c r="X27" s="124" t="str">
        <f>IFERROR(VLOOKUP(X7,中介表!$A$1:$C$21,2,FALSE),"")</f>
        <v>托塔天王</v>
      </c>
      <c r="Y27" s="124" t="str">
        <f>IFERROR(VLOOKUP(Y7,中介表!$A$1:$C$21,2,FALSE),"")</f>
        <v>嫦娥</v>
      </c>
      <c r="Z27" s="124" t="str">
        <f>IFERROR(VLOOKUP(Z7,中介表!$A$1:$C$21,2,FALSE),"")</f>
        <v/>
      </c>
      <c r="AA27" s="124" t="str">
        <f>IFERROR(VLOOKUP(AA7,中介表!$A$1:$C$21,2,FALSE),"")</f>
        <v>二郎神</v>
      </c>
      <c r="AB27" s="124" t="str">
        <f>IFERROR(VLOOKUP(AB7,中介表!$A$1:$C$21,2,FALSE),"")</f>
        <v>王母娘娘</v>
      </c>
      <c r="AC27" s="124" t="str">
        <f>IFERROR(VLOOKUP(AC7,中介表!$A$1:$C$21,2,FALSE),"")</f>
        <v>托塔天王</v>
      </c>
      <c r="AD27" s="124" t="str">
        <f>IFERROR(VLOOKUP(AD7,中介表!$A$1:$C$21,2,FALSE),"")</f>
        <v/>
      </c>
      <c r="AE27" s="124" t="str">
        <f>IFERROR(VLOOKUP(AE7,中介表!$A$1:$C$21,2,FALSE),"")</f>
        <v>托塔天王</v>
      </c>
      <c r="AF27" s="124" t="str">
        <f>IFERROR(VLOOKUP(AF7,中介表!$A$1:$C$21,2,FALSE),"")</f>
        <v>九天玄女</v>
      </c>
      <c r="AG27" s="124" t="str">
        <f>IFERROR(VLOOKUP(AG7,中介表!$A$1:$C$21,2,FALSE),"")</f>
        <v>嫦娥</v>
      </c>
      <c r="AH27" s="124" t="str">
        <f>IFERROR(VLOOKUP(AH7,中介表!$A$1:$C$21,2,FALSE),"")</f>
        <v/>
      </c>
      <c r="AI27" s="124" t="str">
        <f>IFERROR(VLOOKUP(AI7,中介表!$A$1:$C$21,2,FALSE),"")</f>
        <v>托塔天王</v>
      </c>
      <c r="AJ27" s="124" t="str">
        <f>IFERROR(VLOOKUP(AJ7,中介表!$A$1:$C$21,2,FALSE),"")</f>
        <v>赤脚大仙</v>
      </c>
      <c r="AK27" s="124" t="str">
        <f>IFERROR(VLOOKUP(AK7,中介表!$A$1:$C$21,2,FALSE),"")</f>
        <v/>
      </c>
      <c r="AL27" s="124" t="str">
        <f>IFERROR(VLOOKUP(AL7,中介表!$A$1:$C$21,2,FALSE),"")</f>
        <v>托塔天王</v>
      </c>
      <c r="AM27" s="124" t="str">
        <f>IFERROR(VLOOKUP(AM7,中介表!$A$1:$C$21,2,FALSE),"")</f>
        <v>东海龙王</v>
      </c>
      <c r="AN27" s="124" t="str">
        <f>IFERROR(VLOOKUP(AN7,中介表!$A$1:$C$21,2,FALSE),"")</f>
        <v/>
      </c>
      <c r="AO27" s="124" t="str">
        <f>IFERROR(VLOOKUP(AO7,中介表!$A$1:$C$21,2,FALSE),"")</f>
        <v>托塔天王</v>
      </c>
      <c r="AP27" s="124" t="str">
        <f>IFERROR(VLOOKUP(AP7,中介表!$A$1:$C$21,2,FALSE),"")</f>
        <v>黑无常</v>
      </c>
      <c r="AQ27" s="124" t="str">
        <f>IFERROR(VLOOKUP(AQ7,中介表!$A$1:$C$21,2,FALSE),"")</f>
        <v/>
      </c>
      <c r="AR27" s="41" t="str">
        <f>IFERROR(VLOOKUP(AR7,中介表!$A$1:$C$21,2,FALSE),"")</f>
        <v/>
      </c>
      <c r="AS27" s="41" t="str">
        <f>IFERROR(VLOOKUP(AS7,中介表!$A$1:$C$21,2,FALSE),"")</f>
        <v/>
      </c>
      <c r="AT27" s="40"/>
      <c r="AU27" s="40"/>
      <c r="AV27" s="40"/>
    </row>
    <row r="28" spans="1:48">
      <c r="A28" s="8" t="s">
        <v>7</v>
      </c>
      <c r="B28" s="8"/>
      <c r="C28" s="8" t="s">
        <v>11</v>
      </c>
      <c r="D28" s="5">
        <v>16</v>
      </c>
      <c r="E28" s="5" t="s">
        <v>58</v>
      </c>
      <c r="F28" s="5" t="str">
        <f t="shared" ref="F28:F37" si="1">C28&amp;D28</f>
        <v>橙16</v>
      </c>
      <c r="G28" s="5" t="s">
        <v>90</v>
      </c>
      <c r="I28" s="109"/>
      <c r="K28" s="39" t="str">
        <f>IFERROR(VLOOKUP(I28,中介表!$A$1:$C$21,2,FALSE),"")</f>
        <v/>
      </c>
      <c r="L28" s="39"/>
      <c r="M28" s="39" t="str">
        <f>IFERROR(VLOOKUP(I28,中介表!$A$1:$C$21,3,FALSE),"")</f>
        <v/>
      </c>
      <c r="N28" s="39"/>
      <c r="O28" s="45" t="s">
        <v>46</v>
      </c>
      <c r="P28" s="48" t="s">
        <v>786</v>
      </c>
      <c r="Q28" s="39"/>
      <c r="R28" s="39"/>
      <c r="T28" s="8" t="s">
        <v>7</v>
      </c>
      <c r="U28" s="41"/>
      <c r="V28" s="124" t="str">
        <f>IFERROR(VLOOKUP(V9,中介表!$A$1:$C$21,2,FALSE),"")</f>
        <v>二郎神</v>
      </c>
      <c r="W28" s="124" t="str">
        <f>IFERROR(VLOOKUP(W9,中介表!$A$1:$C$21,2,FALSE),"")</f>
        <v>王母娘娘</v>
      </c>
      <c r="X28" s="124" t="str">
        <f>IFERROR(VLOOKUP(X9,中介表!$A$1:$C$21,2,FALSE),"")</f>
        <v>黑无常</v>
      </c>
      <c r="Y28" s="124" t="str">
        <f>IFERROR(VLOOKUP(Y9,中介表!$A$1:$C$21,2,FALSE),"")</f>
        <v>九天玄女</v>
      </c>
      <c r="Z28" s="124" t="str">
        <f>IFERROR(VLOOKUP(Z9,中介表!$A$1:$C$21,2,FALSE),"")</f>
        <v/>
      </c>
      <c r="AA28" s="124" t="str">
        <f>IFERROR(VLOOKUP(AA9,中介表!$A$1:$C$21,2,FALSE),"")</f>
        <v>托塔天王</v>
      </c>
      <c r="AB28" s="124" t="str">
        <f>IFERROR(VLOOKUP(AB9,中介表!$A$1:$C$21,2,FALSE),"")</f>
        <v>九天玄女</v>
      </c>
      <c r="AC28" s="124" t="str">
        <f>IFERROR(VLOOKUP(AC9,中介表!$A$1:$C$21,2,FALSE),"")</f>
        <v>嫦娥</v>
      </c>
      <c r="AD28" s="124" t="str">
        <f>IFERROR(VLOOKUP(AD9,中介表!$A$1:$C$21,2,FALSE),"")</f>
        <v/>
      </c>
      <c r="AE28" s="124" t="str">
        <f>IFERROR(VLOOKUP(AE9,中介表!$A$1:$C$21,2,FALSE),"")</f>
        <v>黑无常</v>
      </c>
      <c r="AF28" s="124" t="str">
        <f>IFERROR(VLOOKUP(AF9,中介表!$A$1:$C$21,2,FALSE),"")</f>
        <v>九天玄女</v>
      </c>
      <c r="AG28" s="124" t="str">
        <f>IFERROR(VLOOKUP(AG9,中介表!$A$1:$C$21,2,FALSE),"")</f>
        <v>嫦娥</v>
      </c>
      <c r="AH28" s="124" t="str">
        <f>IFERROR(VLOOKUP(AH9,中介表!$A$1:$C$21,2,FALSE),"")</f>
        <v/>
      </c>
      <c r="AI28" s="124" t="str">
        <f>IFERROR(VLOOKUP(AI9,中介表!$A$1:$C$21,2,FALSE),"")</f>
        <v>二郎神</v>
      </c>
      <c r="AJ28" s="124" t="str">
        <f>IFERROR(VLOOKUP(AJ9,中介表!$A$1:$C$21,2,FALSE),"")</f>
        <v>九天玄女</v>
      </c>
      <c r="AK28" s="124" t="str">
        <f>IFERROR(VLOOKUP(AK9,中介表!$A$1:$C$21,2,FALSE),"")</f>
        <v/>
      </c>
      <c r="AL28" s="124" t="str">
        <f>IFERROR(VLOOKUP(AL9,中介表!$A$1:$C$21,2,FALSE),"")</f>
        <v>王母娘娘</v>
      </c>
      <c r="AM28" s="124" t="str">
        <f>IFERROR(VLOOKUP(AM9,中介表!$A$1:$C$21,2,FALSE),"")</f>
        <v>九天玄女</v>
      </c>
      <c r="AN28" s="124" t="str">
        <f>IFERROR(VLOOKUP(AN9,中介表!$A$1:$C$21,2,FALSE),"")</f>
        <v/>
      </c>
      <c r="AO28" s="124" t="str">
        <f>IFERROR(VLOOKUP(AO9,中介表!$A$1:$C$21,2,FALSE),"")</f>
        <v>嫦娥</v>
      </c>
      <c r="AP28" s="124" t="str">
        <f>IFERROR(VLOOKUP(AP9,中介表!$A$1:$C$21,2,FALSE),"")</f>
        <v>九天玄女</v>
      </c>
      <c r="AQ28" s="124" t="str">
        <f>IFERROR(VLOOKUP(AQ8,中介表!$A$1:$C$21,2,FALSE),"")</f>
        <v/>
      </c>
      <c r="AR28" s="41" t="str">
        <f>IFERROR(VLOOKUP(AR8,中介表!$A$1:$C$21,2,FALSE),"")</f>
        <v/>
      </c>
      <c r="AS28" s="41" t="str">
        <f>IFERROR(VLOOKUP(AS8,中介表!$A$1:$C$21,2,FALSE),"")</f>
        <v/>
      </c>
      <c r="AT28" s="40"/>
      <c r="AU28" s="40"/>
      <c r="AV28" s="40"/>
    </row>
    <row r="29" spans="1:48">
      <c r="A29" s="25" t="s">
        <v>72</v>
      </c>
      <c r="B29" s="25"/>
      <c r="C29" s="25" t="s">
        <v>11</v>
      </c>
      <c r="D29" s="5">
        <v>13</v>
      </c>
      <c r="E29" s="5" t="s">
        <v>58</v>
      </c>
      <c r="F29" s="5" t="str">
        <f t="shared" si="1"/>
        <v>橙13</v>
      </c>
      <c r="G29" s="5" t="s">
        <v>68</v>
      </c>
      <c r="H29" s="142" t="s">
        <v>814</v>
      </c>
      <c r="I29" s="109" t="s">
        <v>91</v>
      </c>
      <c r="J29" s="140" t="s">
        <v>571</v>
      </c>
      <c r="K29" s="39" t="str">
        <f>IFERROR(VLOOKUP(I29,中介表!$A$1:$C$21,2,FALSE),"")</f>
        <v>白无常</v>
      </c>
      <c r="L29" s="139" t="s">
        <v>604</v>
      </c>
      <c r="M29" s="39" t="str">
        <f>IFERROR(VLOOKUP(I29,中介表!$A$1:$C$21,3,FALSE),"")</f>
        <v>龙帝</v>
      </c>
      <c r="N29" s="39"/>
      <c r="O29" s="45" t="s">
        <v>168</v>
      </c>
      <c r="P29" s="48" t="s">
        <v>170</v>
      </c>
      <c r="Q29" s="39"/>
      <c r="R29" s="39"/>
      <c r="T29" s="25" t="s">
        <v>72</v>
      </c>
      <c r="U29" s="41"/>
      <c r="V29" s="124" t="str">
        <f>IFERROR(VLOOKUP(V8,中介表!$A$1:$C$21,2,FALSE),"")</f>
        <v>哪吒</v>
      </c>
      <c r="W29" s="124" t="str">
        <f>IFERROR(VLOOKUP(W8,中介表!$A$1:$C$21,2,FALSE),"")</f>
        <v>白无常</v>
      </c>
      <c r="X29" s="124" t="str">
        <f>IFERROR(VLOOKUP(X8,中介表!$A$1:$C$21,2,FALSE),"")</f>
        <v>托塔天王</v>
      </c>
      <c r="Y29" s="124" t="str">
        <f>IFERROR(VLOOKUP(Y8,中介表!$A$1:$C$21,2,FALSE),"")</f>
        <v>嫦娥</v>
      </c>
      <c r="Z29" s="124" t="str">
        <f>IFERROR(VLOOKUP(Z8,中介表!$A$1:$C$21,2,FALSE),"")</f>
        <v/>
      </c>
      <c r="AA29" s="124" t="str">
        <f>IFERROR(VLOOKUP(AA8,中介表!$A$1:$C$21,2,FALSE),"")</f>
        <v>托塔天王</v>
      </c>
      <c r="AB29" s="124" t="str">
        <f>IFERROR(VLOOKUP(AB8,中介表!$A$1:$C$21,2,FALSE),"")</f>
        <v>九天玄女</v>
      </c>
      <c r="AC29" s="124" t="str">
        <f>IFERROR(VLOOKUP(AC8,中介表!$A$1:$C$21,2,FALSE),"")</f>
        <v>嫦娥</v>
      </c>
      <c r="AD29" s="124" t="str">
        <f>IFERROR(VLOOKUP(AD8,中介表!$A$1:$C$21,2,FALSE),"")</f>
        <v/>
      </c>
      <c r="AE29" s="124" t="str">
        <f>IFERROR(VLOOKUP(AE8,中介表!$A$1:$C$21,2,FALSE),"")</f>
        <v>黑无常</v>
      </c>
      <c r="AF29" s="124" t="str">
        <f>IFERROR(VLOOKUP(AF8,中介表!$A$1:$C$21,2,FALSE),"")</f>
        <v>九天玄女</v>
      </c>
      <c r="AG29" s="124" t="str">
        <f>IFERROR(VLOOKUP(AG8,中介表!$A$1:$C$21,2,FALSE),"")</f>
        <v>嫦娥</v>
      </c>
      <c r="AH29" s="124" t="str">
        <f>IFERROR(VLOOKUP(AH8,中介表!$A$1:$C$21,2,FALSE),"")</f>
        <v/>
      </c>
      <c r="AI29" s="124" t="str">
        <f>IFERROR(VLOOKUP(AI8,中介表!$A$1:$C$21,2,FALSE),"")</f>
        <v>哪吒</v>
      </c>
      <c r="AJ29" s="124" t="str">
        <f>IFERROR(VLOOKUP(AJ8,中介表!$A$1:$C$21,2,FALSE),"")</f>
        <v>嫦娥</v>
      </c>
      <c r="AK29" s="124" t="str">
        <f>IFERROR(VLOOKUP(AK8,中介表!$A$1:$C$21,2,FALSE),"")</f>
        <v/>
      </c>
      <c r="AL29" s="124" t="str">
        <f>IFERROR(VLOOKUP(AL8,中介表!$A$1:$C$21,2,FALSE),"")</f>
        <v>白无常</v>
      </c>
      <c r="AM29" s="124" t="str">
        <f>IFERROR(VLOOKUP(AM8,中介表!$A$1:$C$21,2,FALSE),"")</f>
        <v>嫦娥</v>
      </c>
      <c r="AN29" s="124" t="str">
        <f>IFERROR(VLOOKUP(AN8,中介表!$A$1:$C$21,2,FALSE),"")</f>
        <v/>
      </c>
      <c r="AO29" s="124" t="str">
        <f>IFERROR(VLOOKUP(AO8,中介表!$A$1:$C$21,2,FALSE),"")</f>
        <v>嫦娥</v>
      </c>
      <c r="AP29" s="124" t="str">
        <f>IFERROR(VLOOKUP(AP8,中介表!$A$1:$C$21,2,FALSE),"")</f>
        <v>九天玄女</v>
      </c>
      <c r="AQ29" s="124" t="str">
        <f>IFERROR(VLOOKUP(AQ9,中介表!$A$1:$C$21,2,FALSE),"")</f>
        <v/>
      </c>
      <c r="AR29" s="41" t="str">
        <f>IFERROR(VLOOKUP(AR9,中介表!$A$1:$C$21,2,FALSE),"")</f>
        <v/>
      </c>
      <c r="AS29" s="41" t="str">
        <f>IFERROR(VLOOKUP(AS9,中介表!$A$1:$C$21,2,FALSE),"")</f>
        <v/>
      </c>
      <c r="AT29" s="40"/>
      <c r="AU29" s="40"/>
      <c r="AV29" s="40"/>
    </row>
    <row r="30" spans="1:48">
      <c r="A30" s="115" t="s">
        <v>195</v>
      </c>
      <c r="B30" s="25"/>
      <c r="C30" s="25" t="s">
        <v>11</v>
      </c>
      <c r="D30" s="5">
        <v>13</v>
      </c>
      <c r="E30" s="5" t="s">
        <v>58</v>
      </c>
      <c r="F30" s="5" t="str">
        <f t="shared" si="1"/>
        <v>橙13</v>
      </c>
      <c r="G30" s="5" t="s">
        <v>63</v>
      </c>
      <c r="H30" s="142"/>
      <c r="I30" s="109" t="s">
        <v>167</v>
      </c>
      <c r="J30" s="140"/>
      <c r="K30" s="39" t="str">
        <f>IFERROR(VLOOKUP(I30,中介表!$A$1:$C$21,2,FALSE),"")</f>
        <v>嫦娥</v>
      </c>
      <c r="L30" s="139"/>
      <c r="M30" s="39" t="str">
        <f>IFERROR(VLOOKUP(I30,中介表!$A$1:$C$21,3,FALSE),"")</f>
        <v>观世音</v>
      </c>
      <c r="N30" s="39"/>
      <c r="O30" s="45" t="s">
        <v>0</v>
      </c>
      <c r="P30" s="48" t="s">
        <v>23</v>
      </c>
      <c r="Q30" s="39"/>
      <c r="R30" s="39"/>
      <c r="T30" s="115" t="s">
        <v>195</v>
      </c>
      <c r="U30" s="41"/>
      <c r="V30" s="124" t="str">
        <f>IFERROR(VLOOKUP(V10,中介表!$A$1:$C$21,2,FALSE),"")</f>
        <v>赤脚大仙</v>
      </c>
      <c r="W30" s="124" t="str">
        <f>IFERROR(VLOOKUP(W10,中介表!$A$1:$C$21,2,FALSE),"")</f>
        <v>东海龙王</v>
      </c>
      <c r="X30" s="124" t="str">
        <f>IFERROR(VLOOKUP(X10,中介表!$A$1:$C$21,2,FALSE),"")</f>
        <v>太白金星</v>
      </c>
      <c r="Y30" s="124" t="str">
        <f>IFERROR(VLOOKUP(Y10,中介表!$A$1:$C$21,2,FALSE),"")</f>
        <v/>
      </c>
      <c r="Z30" s="124" t="str">
        <f>IFERROR(VLOOKUP(Z10,中介表!$A$1:$C$21,2,FALSE),"")</f>
        <v>赤脚大仙</v>
      </c>
      <c r="AA30" s="124" t="str">
        <f>IFERROR(VLOOKUP(AA10,中介表!$A$1:$C$21,2,FALSE),"")</f>
        <v>阎罗王</v>
      </c>
      <c r="AB30" s="124" t="str">
        <f>IFERROR(VLOOKUP(AB10,中介表!$A$1:$C$21,2,FALSE),"")</f>
        <v>小白龙</v>
      </c>
      <c r="AC30" s="124" t="str">
        <f>IFERROR(VLOOKUP(AC10,中介表!$A$1:$C$21,2,FALSE),"")</f>
        <v/>
      </c>
      <c r="AD30" s="124" t="str">
        <f>IFERROR(VLOOKUP(AD10,中介表!$A$1:$C$21,2,FALSE),"")</f>
        <v>托塔天王</v>
      </c>
      <c r="AE30" s="124" t="str">
        <f>IFERROR(VLOOKUP(AE10,中介表!$A$1:$C$21,2,FALSE),"")</f>
        <v>赤脚大仙</v>
      </c>
      <c r="AF30" s="124" t="str">
        <f>IFERROR(VLOOKUP(AF10,中介表!$A$1:$C$21,2,FALSE),"")</f>
        <v/>
      </c>
      <c r="AG30" s="124" t="str">
        <f>IFERROR(VLOOKUP(AG10,中介表!$A$1:$C$21,2,FALSE),"")</f>
        <v>黑无常</v>
      </c>
      <c r="AH30" s="124" t="str">
        <f>IFERROR(VLOOKUP(AH10,中介表!$A$1:$C$21,2,FALSE),"")</f>
        <v>赤脚大仙</v>
      </c>
      <c r="AI30" s="124" t="str">
        <f>IFERROR(VLOOKUP(AI10,中介表!$A$1:$C$21,2,FALSE),"")</f>
        <v/>
      </c>
      <c r="AJ30" s="124" t="str">
        <f>IFERROR(VLOOKUP(AJ10,中介表!$A$1:$C$21,2,FALSE),"")</f>
        <v>二郎神</v>
      </c>
      <c r="AK30" s="124" t="str">
        <f>IFERROR(VLOOKUP(AK10,中介表!$A$1:$C$21,2,FALSE),"")</f>
        <v>赤脚大仙</v>
      </c>
      <c r="AL30" s="124" t="str">
        <f>IFERROR(VLOOKUP(AL10,中介表!$A$1:$C$21,2,FALSE),"")</f>
        <v/>
      </c>
      <c r="AM30" s="124" t="str">
        <f>IFERROR(VLOOKUP(AM10,中介表!$A$1:$C$21,2,FALSE),"")</f>
        <v/>
      </c>
      <c r="AN30" s="124" t="str">
        <f>IFERROR(VLOOKUP(AN10,中介表!$A$1:$C$21,2,FALSE),"")</f>
        <v/>
      </c>
      <c r="AO30" s="124" t="str">
        <f>IFERROR(VLOOKUP(AO10,中介表!$A$1:$C$21,2,FALSE),"")</f>
        <v/>
      </c>
      <c r="AP30" s="124" t="str">
        <f>IFERROR(VLOOKUP(AP10,中介表!$A$1:$C$21,2,FALSE),"")</f>
        <v/>
      </c>
      <c r="AQ30" s="124" t="str">
        <f>IFERROR(VLOOKUP(AQ10,中介表!$A$1:$C$21,2,FALSE),"")</f>
        <v/>
      </c>
      <c r="AR30" s="41" t="str">
        <f>IFERROR(VLOOKUP(AR10,中介表!$A$1:$C$21,2,FALSE),"")</f>
        <v/>
      </c>
      <c r="AS30" s="41" t="str">
        <f>IFERROR(VLOOKUP(AS10,中介表!$A$1:$C$21,2,FALSE),"")</f>
        <v/>
      </c>
      <c r="AT30" s="40"/>
      <c r="AU30" s="40"/>
      <c r="AV30" s="40"/>
    </row>
    <row r="31" spans="1:48">
      <c r="A31" s="25" t="s">
        <v>760</v>
      </c>
      <c r="B31" s="25"/>
      <c r="C31" s="25" t="s">
        <v>156</v>
      </c>
      <c r="D31" s="5">
        <v>13</v>
      </c>
      <c r="E31" s="5" t="s">
        <v>58</v>
      </c>
      <c r="F31" s="5" t="str">
        <f t="shared" si="1"/>
        <v>橙13</v>
      </c>
      <c r="G31" s="5" t="s">
        <v>63</v>
      </c>
      <c r="I31" s="109"/>
      <c r="K31" s="39" t="str">
        <f>IFERROR(VLOOKUP(I31,中介表!$A$1:$C$21,2,FALSE),"")</f>
        <v/>
      </c>
      <c r="L31" s="39"/>
      <c r="M31" s="39" t="str">
        <f>IFERROR(VLOOKUP(I31,中介表!$A$1:$C$21,3,FALSE),"")</f>
        <v/>
      </c>
      <c r="N31" s="39"/>
      <c r="O31" s="45" t="s">
        <v>46</v>
      </c>
      <c r="P31" s="48" t="s">
        <v>169</v>
      </c>
      <c r="Q31" s="39"/>
      <c r="R31" s="39"/>
      <c r="T31" s="25" t="s">
        <v>760</v>
      </c>
      <c r="U31" s="41"/>
      <c r="V31" s="124" t="str">
        <f>IFERROR(VLOOKUP(V11,中介表!$A$1:$C$21,2,FALSE),"")</f>
        <v>玉皇大帝</v>
      </c>
      <c r="W31" s="124" t="str">
        <f>IFERROR(VLOOKUP(W11,中介表!$A$1:$C$21,2,FALSE),"")</f>
        <v>阎罗王</v>
      </c>
      <c r="X31" s="124" t="str">
        <f>IFERROR(VLOOKUP(X11,中介表!$A$1:$C$21,2,FALSE),"")</f>
        <v>太白金星</v>
      </c>
      <c r="Y31" s="124" t="str">
        <f>IFERROR(VLOOKUP(Y11,中介表!$A$1:$C$21,2,FALSE),"")</f>
        <v/>
      </c>
      <c r="Z31" s="124" t="str">
        <f>IFERROR(VLOOKUP(Z11,中介表!$A$1:$C$21,2,FALSE),"")</f>
        <v>东海龙王</v>
      </c>
      <c r="AA31" s="124" t="str">
        <f>IFERROR(VLOOKUP(AA11,中介表!$A$1:$C$21,2,FALSE),"")</f>
        <v>小白龙</v>
      </c>
      <c r="AB31" s="124" t="str">
        <f>IFERROR(VLOOKUP(AB11,中介表!$A$1:$C$21,2,FALSE),"")</f>
        <v>玉皇大帝</v>
      </c>
      <c r="AC31" s="124" t="str">
        <f>IFERROR(VLOOKUP(AC11,中介表!$A$1:$C$21,2,FALSE),"")</f>
        <v/>
      </c>
      <c r="AD31" s="124" t="str">
        <f>IFERROR(VLOOKUP(AD11,中介表!$A$1:$C$21,2,FALSE),"")</f>
        <v>二郎神</v>
      </c>
      <c r="AE31" s="124" t="str">
        <f>IFERROR(VLOOKUP(AE11,中介表!$A$1:$C$21,2,FALSE),"")</f>
        <v>玉皇大帝</v>
      </c>
      <c r="AF31" s="124" t="str">
        <f>IFERROR(VLOOKUP(AF11,中介表!$A$1:$C$21,2,FALSE),"")</f>
        <v/>
      </c>
      <c r="AG31" s="124" t="str">
        <f>IFERROR(VLOOKUP(AG11,中介表!$A$1:$C$21,2,FALSE),"")</f>
        <v>哪吒</v>
      </c>
      <c r="AH31" s="124" t="str">
        <f>IFERROR(VLOOKUP(AH11,中介表!$A$1:$C$21,2,FALSE),"")</f>
        <v>玉皇大帝</v>
      </c>
      <c r="AI31" s="124" t="str">
        <f>IFERROR(VLOOKUP(AI11,中介表!$A$1:$C$21,2,FALSE),"")</f>
        <v/>
      </c>
      <c r="AJ31" s="124" t="str">
        <f>IFERROR(VLOOKUP(AJ11,中介表!$A$1:$C$21,2,FALSE),"")</f>
        <v>白无常</v>
      </c>
      <c r="AK31" s="124" t="str">
        <f>IFERROR(VLOOKUP(AK11,中介表!$A$1:$C$21,2,FALSE),"")</f>
        <v>玉皇大帝</v>
      </c>
      <c r="AL31" s="124" t="str">
        <f>IFERROR(VLOOKUP(AL11,中介表!$A$1:$C$21,2,FALSE),"")</f>
        <v/>
      </c>
      <c r="AM31" s="124" t="str">
        <f>IFERROR(VLOOKUP(AM11,中介表!$A$1:$C$21,2,FALSE),"")</f>
        <v/>
      </c>
      <c r="AN31" s="124" t="str">
        <f>IFERROR(VLOOKUP(AN11,中介表!$A$1:$C$21,2,FALSE),"")</f>
        <v/>
      </c>
      <c r="AO31" s="124" t="str">
        <f>IFERROR(VLOOKUP(AO11,中介表!$A$1:$C$21,2,FALSE),"")</f>
        <v/>
      </c>
      <c r="AP31" s="124" t="str">
        <f>IFERROR(VLOOKUP(AP11,中介表!$A$1:$C$21,2,FALSE),"")</f>
        <v/>
      </c>
      <c r="AQ31" s="124" t="str">
        <f>IFERROR(VLOOKUP(AQ11,中介表!$A$1:$C$21,2,FALSE),"")</f>
        <v/>
      </c>
      <c r="AR31" s="41" t="str">
        <f>IFERROR(VLOOKUP(AR11,中介表!$A$1:$C$21,2,FALSE),"")</f>
        <v/>
      </c>
      <c r="AS31" s="41" t="str">
        <f>IFERROR(VLOOKUP(AS11,中介表!$A$1:$C$21,2,FALSE),"")</f>
        <v/>
      </c>
      <c r="AT31" s="40"/>
      <c r="AU31" s="40"/>
      <c r="AV31" s="40"/>
    </row>
    <row r="32" spans="1:48">
      <c r="A32" s="115" t="s">
        <v>15</v>
      </c>
      <c r="B32" s="25"/>
      <c r="C32" s="25" t="s">
        <v>11</v>
      </c>
      <c r="D32" s="5">
        <v>13</v>
      </c>
      <c r="E32" s="5" t="s">
        <v>58</v>
      </c>
      <c r="F32" s="5" t="str">
        <f t="shared" si="1"/>
        <v>橙13</v>
      </c>
      <c r="G32" s="5" t="s">
        <v>63</v>
      </c>
      <c r="H32" s="142" t="s">
        <v>810</v>
      </c>
      <c r="I32" s="109" t="s">
        <v>22</v>
      </c>
      <c r="J32" s="140" t="s">
        <v>570</v>
      </c>
      <c r="K32" s="39" t="str">
        <f>IFERROR(VLOOKUP(I32,中介表!$A$1:$C$21,2,FALSE),"")</f>
        <v>托塔天王</v>
      </c>
      <c r="L32" s="139" t="s">
        <v>601</v>
      </c>
      <c r="M32" s="39" t="str">
        <f>IFERROR(VLOOKUP(I32,中介表!$A$1:$C$21,3,FALSE),"")</f>
        <v>金蝉子</v>
      </c>
      <c r="N32" s="39"/>
      <c r="O32" s="45" t="s">
        <v>3</v>
      </c>
      <c r="P32" s="48" t="s">
        <v>170</v>
      </c>
      <c r="Q32" s="121"/>
      <c r="R32" s="39"/>
      <c r="T32" s="115" t="s">
        <v>15</v>
      </c>
      <c r="U32" s="41"/>
      <c r="V32" s="124" t="str">
        <f>IFERROR(VLOOKUP(V12,中介表!$A$1:$C$21,2,FALSE),"")</f>
        <v>赤脚大仙</v>
      </c>
      <c r="W32" s="124" t="str">
        <f>IFERROR(VLOOKUP(W12,中介表!$A$1:$C$21,2,FALSE),"")</f>
        <v>东海龙王</v>
      </c>
      <c r="X32" s="124" t="str">
        <f>IFERROR(VLOOKUP(X12,中介表!$A$1:$C$21,2,FALSE),"")</f>
        <v>太白金星</v>
      </c>
      <c r="Y32" s="124" t="str">
        <f>IFERROR(VLOOKUP(Y12,中介表!$A$1:$C$21,2,FALSE),"")</f>
        <v/>
      </c>
      <c r="Z32" s="124" t="str">
        <f>IFERROR(VLOOKUP(Z12,中介表!$A$1:$C$21,2,FALSE),"")</f>
        <v>东海龙王</v>
      </c>
      <c r="AA32" s="124" t="str">
        <f>IFERROR(VLOOKUP(AA12,中介表!$A$1:$C$21,2,FALSE),"")</f>
        <v>小白龙</v>
      </c>
      <c r="AB32" s="124" t="str">
        <f>IFERROR(VLOOKUP(AB12,中介表!$A$1:$C$21,2,FALSE),"")</f>
        <v>玉皇大帝</v>
      </c>
      <c r="AC32" s="124" t="str">
        <f>IFERROR(VLOOKUP(AC12,中介表!$A$1:$C$21,2,FALSE),"")</f>
        <v/>
      </c>
      <c r="AD32" s="124" t="str">
        <f>IFERROR(VLOOKUP(AD12,中介表!$A$1:$C$21,2,FALSE),"")</f>
        <v>托塔天王</v>
      </c>
      <c r="AE32" s="124" t="str">
        <f>IFERROR(VLOOKUP(AE12,中介表!$A$1:$C$21,2,FALSE),"")</f>
        <v>东海龙王</v>
      </c>
      <c r="AF32" s="124" t="str">
        <f>IFERROR(VLOOKUP(AF12,中介表!$A$1:$C$21,2,FALSE),"")</f>
        <v/>
      </c>
      <c r="AG32" s="124" t="str">
        <f>IFERROR(VLOOKUP(AG12,中介表!$A$1:$C$21,2,FALSE),"")</f>
        <v>黑无常</v>
      </c>
      <c r="AH32" s="124" t="str">
        <f>IFERROR(VLOOKUP(AH12,中介表!$A$1:$C$21,2,FALSE),"")</f>
        <v>东海龙王</v>
      </c>
      <c r="AI32" s="124" t="str">
        <f>IFERROR(VLOOKUP(AI12,中介表!$A$1:$C$21,2,FALSE),"")</f>
        <v/>
      </c>
      <c r="AJ32" s="124" t="str">
        <f>IFERROR(VLOOKUP(AJ12,中介表!$A$1:$C$21,2,FALSE),"")</f>
        <v>王母娘娘</v>
      </c>
      <c r="AK32" s="124" t="str">
        <f>IFERROR(VLOOKUP(AK12,中介表!$A$1:$C$21,2,FALSE),"")</f>
        <v>东海龙王</v>
      </c>
      <c r="AL32" s="124" t="str">
        <f>IFERROR(VLOOKUP(AL12,中介表!$A$1:$C$21,2,FALSE),"")</f>
        <v/>
      </c>
      <c r="AM32" s="124" t="str">
        <f>IFERROR(VLOOKUP(AM12,中介表!$A$1:$C$21,2,FALSE),"")</f>
        <v/>
      </c>
      <c r="AN32" s="124" t="str">
        <f>IFERROR(VLOOKUP(AN12,中介表!$A$1:$C$21,2,FALSE),"")</f>
        <v/>
      </c>
      <c r="AO32" s="124" t="str">
        <f>IFERROR(VLOOKUP(AO12,中介表!$A$1:$C$21,2,FALSE),"")</f>
        <v/>
      </c>
      <c r="AP32" s="124" t="str">
        <f>IFERROR(VLOOKUP(AP12,中介表!$A$1:$C$21,2,FALSE),"")</f>
        <v/>
      </c>
      <c r="AQ32" s="124" t="str">
        <f>IFERROR(VLOOKUP(AQ12,中介表!$A$1:$C$21,2,FALSE),"")</f>
        <v/>
      </c>
      <c r="AR32" s="41" t="str">
        <f>IFERROR(VLOOKUP(AR12,中介表!$A$1:$C$21,2,FALSE),"")</f>
        <v/>
      </c>
      <c r="AS32" s="41" t="str">
        <f>IFERROR(VLOOKUP(AS12,中介表!$A$1:$C$21,2,FALSE),"")</f>
        <v/>
      </c>
      <c r="AT32" s="40"/>
      <c r="AU32" s="40"/>
      <c r="AV32" s="40"/>
    </row>
    <row r="33" spans="1:48">
      <c r="A33" s="25" t="s">
        <v>36</v>
      </c>
      <c r="B33" s="25"/>
      <c r="C33" s="25" t="s">
        <v>11</v>
      </c>
      <c r="D33" s="5">
        <v>13</v>
      </c>
      <c r="E33" s="5" t="s">
        <v>58</v>
      </c>
      <c r="F33" s="5" t="str">
        <f>C33&amp;D33</f>
        <v>橙13</v>
      </c>
      <c r="G33" s="5" t="s">
        <v>67</v>
      </c>
      <c r="H33" s="142"/>
      <c r="I33" s="109" t="s">
        <v>140</v>
      </c>
      <c r="J33" s="140"/>
      <c r="K33" s="39" t="str">
        <f>IFERROR(VLOOKUP(I33,中介表!$A$1:$C$21,2,FALSE),"")</f>
        <v>九天玄女</v>
      </c>
      <c r="L33" s="139"/>
      <c r="M33" s="39" t="str">
        <f>IFERROR(VLOOKUP(I33,中介表!$A$1:$C$21,3,FALSE),"")</f>
        <v>文殊菩萨</v>
      </c>
      <c r="N33" s="39"/>
      <c r="O33" s="45" t="s">
        <v>168</v>
      </c>
      <c r="P33" s="48" t="s">
        <v>47</v>
      </c>
      <c r="Q33" s="39"/>
      <c r="R33" s="39"/>
      <c r="T33" s="25" t="s">
        <v>36</v>
      </c>
      <c r="U33" s="41"/>
      <c r="V33" s="124" t="str">
        <f>IFERROR(VLOOKUP(V14,中介表!$A$1:$C$21,2,FALSE),"")</f>
        <v>玉皇大帝</v>
      </c>
      <c r="W33" s="124" t="str">
        <f>IFERROR(VLOOKUP(W14,中介表!$A$1:$C$21,2,FALSE),"")</f>
        <v>阎罗王</v>
      </c>
      <c r="X33" s="124" t="str">
        <f>IFERROR(VLOOKUP(X14,中介表!$A$1:$C$21,2,FALSE),"")</f>
        <v>太白金星</v>
      </c>
      <c r="Y33" s="124" t="str">
        <f>IFERROR(VLOOKUP(Y14,中介表!$A$1:$C$21,2,FALSE),"")</f>
        <v/>
      </c>
      <c r="Z33" s="124" t="str">
        <f>IFERROR(VLOOKUP(Z14,中介表!$A$1:$C$21,2,FALSE),"")</f>
        <v>赤脚大仙</v>
      </c>
      <c r="AA33" s="124" t="str">
        <f>IFERROR(VLOOKUP(AA14,中介表!$A$1:$C$21,2,FALSE),"")</f>
        <v>阎罗王</v>
      </c>
      <c r="AB33" s="124" t="str">
        <f>IFERROR(VLOOKUP(AB14,中介表!$A$1:$C$21,2,FALSE),"")</f>
        <v>小白龙</v>
      </c>
      <c r="AC33" s="124" t="str">
        <f>IFERROR(VLOOKUP(AC14,中介表!$A$1:$C$21,2,FALSE),"")</f>
        <v/>
      </c>
      <c r="AD33" s="124" t="str">
        <f>IFERROR(VLOOKUP(AD14,中介表!$A$1:$C$21,2,FALSE),"")</f>
        <v>王母娘娘</v>
      </c>
      <c r="AE33" s="124" t="str">
        <f>IFERROR(VLOOKUP(AE14,中介表!$A$1:$C$21,2,FALSE),"")</f>
        <v>阎罗王</v>
      </c>
      <c r="AF33" s="124" t="str">
        <f>IFERROR(VLOOKUP(AF14,中介表!$A$1:$C$21,2,FALSE),"")</f>
        <v/>
      </c>
      <c r="AG33" s="124" t="str">
        <f>IFERROR(VLOOKUP(AG14,中介表!$A$1:$C$21,2,FALSE),"")</f>
        <v>白无常</v>
      </c>
      <c r="AH33" s="124" t="str">
        <f>IFERROR(VLOOKUP(AH14,中介表!$A$1:$C$21,2,FALSE),"")</f>
        <v>阎罗王</v>
      </c>
      <c r="AI33" s="124" t="str">
        <f>IFERROR(VLOOKUP(AI14,中介表!$A$1:$C$21,2,FALSE),"")</f>
        <v/>
      </c>
      <c r="AJ33" s="124" t="str">
        <f>IFERROR(VLOOKUP(AJ14,中介表!$A$1:$C$21,2,FALSE),"")</f>
        <v>阎罗王</v>
      </c>
      <c r="AK33" s="124" t="str">
        <f>IFERROR(VLOOKUP(AK14,中介表!$A$1:$C$21,2,FALSE),"")</f>
        <v>小白龙</v>
      </c>
      <c r="AL33" s="124" t="str">
        <f>IFERROR(VLOOKUP(AL13,中介表!$A$1:$C$21,2,FALSE),"")</f>
        <v/>
      </c>
      <c r="AM33" s="124" t="str">
        <f>IFERROR(VLOOKUP(AM13,中介表!$A$1:$C$21,2,FALSE),"")</f>
        <v/>
      </c>
      <c r="AN33" s="124" t="str">
        <f>IFERROR(VLOOKUP(AN13,中介表!$A$1:$C$21,2,FALSE),"")</f>
        <v/>
      </c>
      <c r="AO33" s="124" t="str">
        <f>IFERROR(VLOOKUP(AO13,中介表!$A$1:$C$21,2,FALSE),"")</f>
        <v/>
      </c>
      <c r="AP33" s="124" t="str">
        <f>IFERROR(VLOOKUP(AP13,中介表!$A$1:$C$21,2,FALSE),"")</f>
        <v/>
      </c>
      <c r="AQ33" s="124" t="str">
        <f>IFERROR(VLOOKUP(AQ13,中介表!$A$1:$C$21,2,FALSE),"")</f>
        <v/>
      </c>
      <c r="AR33" s="41" t="str">
        <f>IFERROR(VLOOKUP(AR13,中介表!$A$1:$C$21,2,FALSE),"")</f>
        <v/>
      </c>
      <c r="AS33" s="41" t="str">
        <f>IFERROR(VLOOKUP(AS13,中介表!$A$1:$C$21,2,FALSE),"")</f>
        <v/>
      </c>
      <c r="AT33" s="40"/>
      <c r="AU33" s="40"/>
      <c r="AV33" s="40"/>
    </row>
    <row r="34" spans="1:48">
      <c r="A34" s="25" t="s">
        <v>74</v>
      </c>
      <c r="B34" s="25"/>
      <c r="C34" s="25" t="s">
        <v>11</v>
      </c>
      <c r="D34" s="5">
        <v>13</v>
      </c>
      <c r="E34" s="5" t="s">
        <v>58</v>
      </c>
      <c r="F34" s="5" t="str">
        <f t="shared" si="1"/>
        <v>橙13</v>
      </c>
      <c r="G34" s="5" t="s">
        <v>65</v>
      </c>
      <c r="H34" s="142"/>
      <c r="I34" s="109" t="s">
        <v>153</v>
      </c>
      <c r="J34" s="140"/>
      <c r="K34" s="39" t="str">
        <f>IFERROR(VLOOKUP(I34,中介表!$A$1:$C$21,2,FALSE),"")</f>
        <v>嫦娥</v>
      </c>
      <c r="L34" s="139"/>
      <c r="M34" s="39" t="str">
        <f>IFERROR(VLOOKUP(I34,中介表!$A$1:$C$21,3,FALSE),"")</f>
        <v>观世音</v>
      </c>
      <c r="N34" s="39"/>
      <c r="O34" s="48" t="s">
        <v>16</v>
      </c>
      <c r="P34" s="48" t="s">
        <v>831</v>
      </c>
      <c r="Q34" s="44"/>
      <c r="R34" s="39"/>
      <c r="T34" s="25" t="s">
        <v>74</v>
      </c>
      <c r="U34" s="41"/>
      <c r="V34" s="124" t="str">
        <f>IFERROR(VLOOKUP(V15,中介表!$A$1:$C$21,2,FALSE),"")</f>
        <v>东海龙王</v>
      </c>
      <c r="W34" s="124" t="str">
        <f>IFERROR(VLOOKUP(W15,中介表!$A$1:$C$21,2,FALSE),"")</f>
        <v>小白龙</v>
      </c>
      <c r="X34" s="124" t="str">
        <f>IFERROR(VLOOKUP(X15,中介表!$A$1:$C$21,2,FALSE),"")</f>
        <v>玉皇大帝</v>
      </c>
      <c r="Y34" s="124" t="str">
        <f>IFERROR(VLOOKUP(Y15,中介表!$A$1:$C$21,2,FALSE),"")</f>
        <v/>
      </c>
      <c r="Z34" s="124" t="str">
        <f>IFERROR(VLOOKUP(Z15,中介表!$A$1:$C$21,2,FALSE),"")</f>
        <v>赤脚大仙</v>
      </c>
      <c r="AA34" s="124" t="str">
        <f>IFERROR(VLOOKUP(AA15,中介表!$A$1:$C$21,2,FALSE),"")</f>
        <v>阎罗王</v>
      </c>
      <c r="AB34" s="124" t="str">
        <f>IFERROR(VLOOKUP(AB15,中介表!$A$1:$C$21,2,FALSE),"")</f>
        <v>小白龙</v>
      </c>
      <c r="AC34" s="124" t="str">
        <f>IFERROR(VLOOKUP(AC15,中介表!$A$1:$C$21,2,FALSE),"")</f>
        <v/>
      </c>
      <c r="AD34" s="124" t="str">
        <f>IFERROR(VLOOKUP(AD15,中介表!$A$1:$C$21,2,FALSE),"")</f>
        <v>二郎神</v>
      </c>
      <c r="AE34" s="124" t="str">
        <f>IFERROR(VLOOKUP(AE15,中介表!$A$1:$C$21,2,FALSE),"")</f>
        <v>小白龙</v>
      </c>
      <c r="AF34" s="124" t="str">
        <f>IFERROR(VLOOKUP(AF15,中介表!$A$1:$C$21,2,FALSE),"")</f>
        <v/>
      </c>
      <c r="AG34" s="124" t="str">
        <f>IFERROR(VLOOKUP(AG15,中介表!$A$1:$C$21,2,FALSE),"")</f>
        <v>哪吒</v>
      </c>
      <c r="AH34" s="124" t="str">
        <f>IFERROR(VLOOKUP(AH15,中介表!$A$1:$C$21,2,FALSE),"")</f>
        <v>小白龙</v>
      </c>
      <c r="AI34" s="124" t="str">
        <f>IFERROR(VLOOKUP(AI15,中介表!$A$1:$C$21,2,FALSE),"")</f>
        <v/>
      </c>
      <c r="AJ34" s="124" t="str">
        <f>IFERROR(VLOOKUP(AJ15,中介表!$A$1:$C$21,2,FALSE),"")</f>
        <v>阎罗王</v>
      </c>
      <c r="AK34" s="124" t="str">
        <f>IFERROR(VLOOKUP(AK15,中介表!$A$1:$C$21,2,FALSE),"")</f>
        <v>小白龙</v>
      </c>
      <c r="AL34" s="124" t="str">
        <f>IFERROR(VLOOKUP(AL14,中介表!$A$1:$C$21,2,FALSE),"")</f>
        <v/>
      </c>
      <c r="AM34" s="124" t="str">
        <f>IFERROR(VLOOKUP(AM14,中介表!$A$1:$C$21,2,FALSE),"")</f>
        <v/>
      </c>
      <c r="AN34" s="124" t="str">
        <f>IFERROR(VLOOKUP(AN14,中介表!$A$1:$C$21,2,FALSE),"")</f>
        <v/>
      </c>
      <c r="AO34" s="124" t="str">
        <f>IFERROR(VLOOKUP(AO14,中介表!$A$1:$C$21,2,FALSE),"")</f>
        <v/>
      </c>
      <c r="AP34" s="124" t="str">
        <f>IFERROR(VLOOKUP(AP14,中介表!$A$1:$C$21,2,FALSE),"")</f>
        <v/>
      </c>
      <c r="AQ34" s="124" t="str">
        <f>IFERROR(VLOOKUP(AQ14,中介表!$A$1:$C$21,2,FALSE),"")</f>
        <v/>
      </c>
      <c r="AR34" s="41" t="str">
        <f>IFERROR(VLOOKUP(AR14,中介表!$A$1:$C$21,2,FALSE),"")</f>
        <v/>
      </c>
      <c r="AS34" s="41" t="str">
        <f>IFERROR(VLOOKUP(AS14,中介表!$A$1:$C$21,2,FALSE),"")</f>
        <v/>
      </c>
      <c r="AT34" s="40"/>
      <c r="AU34" s="40"/>
      <c r="AV34" s="40"/>
    </row>
    <row r="35" spans="1:48">
      <c r="A35" s="25" t="s">
        <v>605</v>
      </c>
      <c r="B35" s="25"/>
      <c r="C35" s="25" t="s">
        <v>11</v>
      </c>
      <c r="D35" s="5">
        <v>13</v>
      </c>
      <c r="E35" s="5" t="s">
        <v>58</v>
      </c>
      <c r="F35" s="5" t="str">
        <f>C35&amp;D35</f>
        <v>橙13</v>
      </c>
      <c r="G35" s="5" t="s">
        <v>65</v>
      </c>
      <c r="I35" s="109"/>
      <c r="K35" s="39" t="str">
        <f>IFERROR(VLOOKUP(I35,中介表!$A$1:$C$21,2,FALSE),"")</f>
        <v/>
      </c>
      <c r="L35" s="39"/>
      <c r="M35" s="39" t="str">
        <f>IFERROR(VLOOKUP(I35,中介表!$A$1:$C$21,3,FALSE),"")</f>
        <v/>
      </c>
      <c r="N35" s="39"/>
      <c r="O35" s="52" t="s">
        <v>45</v>
      </c>
      <c r="P35" s="53" t="s">
        <v>140</v>
      </c>
      <c r="R35" s="39"/>
      <c r="T35" s="25" t="s">
        <v>605</v>
      </c>
      <c r="U35" s="41"/>
      <c r="V35" s="124" t="str">
        <f>IFERROR(VLOOKUP(V13,中介表!$A$1:$C$21,2,FALSE),"")</f>
        <v>赤脚大仙</v>
      </c>
      <c r="W35" s="124" t="str">
        <f>IFERROR(VLOOKUP(W13,中介表!$A$1:$C$21,2,FALSE),"")</f>
        <v>东海龙王</v>
      </c>
      <c r="X35" s="124" t="str">
        <f>IFERROR(VLOOKUP(X13,中介表!$A$1:$C$21,2,FALSE),"")</f>
        <v>太白金星</v>
      </c>
      <c r="Y35" s="124" t="str">
        <f>IFERROR(VLOOKUP(Y13,中介表!$A$1:$C$21,2,FALSE),"")</f>
        <v/>
      </c>
      <c r="Z35" s="124" t="str">
        <f>IFERROR(VLOOKUP(Z13,中介表!$A$1:$C$21,2,FALSE),"")</f>
        <v>玉皇大帝</v>
      </c>
      <c r="AA35" s="124" t="str">
        <f>IFERROR(VLOOKUP(AA13,中介表!$A$1:$C$21,2,FALSE),"")</f>
        <v>阎罗王</v>
      </c>
      <c r="AB35" s="124" t="str">
        <f>IFERROR(VLOOKUP(AB13,中介表!$A$1:$C$21,2,FALSE),"")</f>
        <v>太白金星</v>
      </c>
      <c r="AC35" s="124" t="str">
        <f>IFERROR(VLOOKUP(AC13,中介表!$A$1:$C$21,2,FALSE),"")</f>
        <v/>
      </c>
      <c r="AD35" s="124" t="str">
        <f>IFERROR(VLOOKUP(AD13,中介表!$A$1:$C$21,2,FALSE),"")</f>
        <v>王母娘娘</v>
      </c>
      <c r="AE35" s="124" t="str">
        <f>IFERROR(VLOOKUP(AE13,中介表!$A$1:$C$21,2,FALSE),"")</f>
        <v>太白金星</v>
      </c>
      <c r="AF35" s="124" t="str">
        <f>IFERROR(VLOOKUP(AF13,中介表!$A$1:$C$21,2,FALSE),"")</f>
        <v/>
      </c>
      <c r="AG35" s="124" t="str">
        <f>IFERROR(VLOOKUP(AG13,中介表!$A$1:$C$21,2,FALSE),"")</f>
        <v>白无常</v>
      </c>
      <c r="AH35" s="124" t="str">
        <f>IFERROR(VLOOKUP(AH13,中介表!$A$1:$C$21,2,FALSE),"")</f>
        <v>太白金星</v>
      </c>
      <c r="AI35" s="124" t="str">
        <f>IFERROR(VLOOKUP(AI13,中介表!$A$1:$C$21,2,FALSE),"")</f>
        <v/>
      </c>
      <c r="AJ35" s="124" t="str">
        <f>IFERROR(VLOOKUP(AJ13,中介表!$A$1:$C$21,2,FALSE),"")</f>
        <v>哪吒</v>
      </c>
      <c r="AK35" s="124" t="str">
        <f>IFERROR(VLOOKUP(AK13,中介表!$A$1:$C$21,2,FALSE),"")</f>
        <v>太白金星</v>
      </c>
      <c r="AL35" s="124" t="str">
        <f>IFERROR(VLOOKUP(AL15,中介表!$A$1:$C$21,2,FALSE),"")</f>
        <v/>
      </c>
      <c r="AM35" s="124" t="str">
        <f>IFERROR(VLOOKUP(AM15,中介表!$A$1:$C$21,2,FALSE),"")</f>
        <v/>
      </c>
      <c r="AN35" s="124" t="str">
        <f>IFERROR(VLOOKUP(AN15,中介表!$A$1:$C$21,2,FALSE),"")</f>
        <v/>
      </c>
      <c r="AO35" s="124" t="str">
        <f>IFERROR(VLOOKUP(AO15,中介表!$A$1:$C$21,2,FALSE),"")</f>
        <v/>
      </c>
      <c r="AP35" s="124" t="str">
        <f>IFERROR(VLOOKUP(AP15,中介表!$A$1:$C$21,2,FALSE),"")</f>
        <v/>
      </c>
      <c r="AQ35" s="124" t="str">
        <f>IFERROR(VLOOKUP(AQ15,中介表!$A$1:$C$21,2,FALSE),"")</f>
        <v/>
      </c>
      <c r="AR35" s="41" t="str">
        <f>IFERROR(VLOOKUP(AR15,中介表!$A$1:$C$21,2,FALSE),"")</f>
        <v/>
      </c>
      <c r="AS35" s="41" t="str">
        <f>IFERROR(VLOOKUP(AS15,中介表!$A$1:$C$21,2,FALSE),"")</f>
        <v/>
      </c>
      <c r="AT35" s="40"/>
      <c r="AU35" s="40"/>
      <c r="AV35" s="40"/>
    </row>
    <row r="36" spans="1:48">
      <c r="A36" s="47" t="s">
        <v>52</v>
      </c>
      <c r="B36" s="9"/>
      <c r="C36" s="9" t="s">
        <v>18</v>
      </c>
      <c r="D36" s="5">
        <v>11</v>
      </c>
      <c r="E36" s="5" t="s">
        <v>58</v>
      </c>
      <c r="F36" s="5" t="str">
        <f t="shared" si="1"/>
        <v>紫11</v>
      </c>
      <c r="G36" s="5" t="s">
        <v>63</v>
      </c>
      <c r="H36" s="142" t="s">
        <v>682</v>
      </c>
      <c r="I36" s="109" t="s">
        <v>138</v>
      </c>
      <c r="J36" s="140" t="s">
        <v>684</v>
      </c>
      <c r="K36" s="39" t="str">
        <f>IFERROR(VLOOKUP(I36,中介表!$A$1:$C$21,2,FALSE),"")</f>
        <v>黑无常</v>
      </c>
      <c r="L36" s="139" t="s">
        <v>602</v>
      </c>
      <c r="M36" s="39" t="str">
        <f>IFERROR(VLOOKUP(I36,中介表!$A$1:$C$21,3,FALSE),"")</f>
        <v>弥勒佛</v>
      </c>
      <c r="N36" s="39"/>
      <c r="O36" s="46" t="s">
        <v>55</v>
      </c>
      <c r="P36" s="47" t="s">
        <v>160</v>
      </c>
      <c r="Q36" s="46" t="s">
        <v>53</v>
      </c>
      <c r="R36" s="39"/>
      <c r="T36" s="47" t="s">
        <v>52</v>
      </c>
      <c r="U36" s="41"/>
      <c r="V36" s="124" t="str">
        <f>IFERROR(VLOOKUP(V16,中介表!$A$1:$C$21,2,FALSE),"")</f>
        <v>鬼使黑</v>
      </c>
      <c r="W36" s="124" t="str">
        <f>IFERROR(VLOOKUP(W16,中介表!$A$1:$C$21,2,FALSE),"")</f>
        <v>马面</v>
      </c>
      <c r="X36" s="124" t="str">
        <f>IFERROR(VLOOKUP(X16,中介表!$A$1:$C$21,2,FALSE),"")</f>
        <v>泾河龙王</v>
      </c>
      <c r="Y36" s="124" t="str">
        <f>IFERROR(VLOOKUP(Y16,中介表!$A$1:$C$21,2,FALSE),"")</f>
        <v/>
      </c>
      <c r="Z36" s="124" t="str">
        <f>IFERROR(VLOOKUP(Z16,中介表!$A$1:$C$21,2,FALSE),"")</f>
        <v>泾河龙王</v>
      </c>
      <c r="AA36" s="124" t="str">
        <f>IFERROR(VLOOKUP(AA16,中介表!$A$1:$C$21,2,FALSE),"")</f>
        <v>雷公</v>
      </c>
      <c r="AB36" s="124" t="str">
        <f>IFERROR(VLOOKUP(AB16,中介表!$A$1:$C$21,2,FALSE),"")</f>
        <v/>
      </c>
      <c r="AC36" s="124" t="str">
        <f>IFERROR(VLOOKUP(AC16,中介表!$A$1:$C$21,2,FALSE),"")</f>
        <v>泾河龙王</v>
      </c>
      <c r="AD36" s="124" t="str">
        <f>IFERROR(VLOOKUP(AD16,中介表!$A$1:$C$21,2,FALSE),"")</f>
        <v>鬼使黑</v>
      </c>
      <c r="AE36" s="124" t="str">
        <f>IFERROR(VLOOKUP(AE16,中介表!$A$1:$C$21,2,FALSE),"")</f>
        <v/>
      </c>
      <c r="AF36" s="124" t="str">
        <f>IFERROR(VLOOKUP(AF16,中介表!$A$1:$C$21,2,FALSE),"")</f>
        <v>泾河龙王</v>
      </c>
      <c r="AG36" s="124" t="str">
        <f>IFERROR(VLOOKUP(AG16,中介表!$A$1:$C$21,2,FALSE),"")</f>
        <v>鬼使白</v>
      </c>
      <c r="AH36" s="124" t="str">
        <f>IFERROR(VLOOKUP(AH16,中介表!$A$1:$C$21,2,FALSE),"")</f>
        <v/>
      </c>
      <c r="AI36" s="124" t="str">
        <f>IFERROR(VLOOKUP(AI16,中介表!$A$1:$C$21,2,FALSE),"")</f>
        <v/>
      </c>
      <c r="AJ36" s="124" t="str">
        <f>IFERROR(VLOOKUP(AJ16,中介表!$A$1:$C$21,2,FALSE),"")</f>
        <v/>
      </c>
      <c r="AK36" s="124" t="str">
        <f>IFERROR(VLOOKUP(AK16,中介表!$A$1:$C$21,2,FALSE),"")</f>
        <v/>
      </c>
      <c r="AL36" s="124" t="str">
        <f>IFERROR(VLOOKUP(AL16,中介表!$A$1:$C$21,2,FALSE),"")</f>
        <v/>
      </c>
      <c r="AM36" s="124" t="str">
        <f>IFERROR(VLOOKUP(AM16,中介表!$A$1:$C$21,2,FALSE),"")</f>
        <v/>
      </c>
      <c r="AN36" s="124" t="str">
        <f>IFERROR(VLOOKUP(AN16,中介表!$A$1:$C$21,2,FALSE),"")</f>
        <v/>
      </c>
      <c r="AO36" s="124" t="str">
        <f>IFERROR(VLOOKUP(AO16,中介表!$A$1:$C$21,2,FALSE),"")</f>
        <v/>
      </c>
      <c r="AP36" s="124" t="str">
        <f>IFERROR(VLOOKUP(AP16,中介表!$A$1:$C$21,2,FALSE),"")</f>
        <v/>
      </c>
      <c r="AQ36" s="124"/>
      <c r="AR36" s="41"/>
      <c r="AS36" s="41"/>
      <c r="AT36" s="40"/>
      <c r="AU36" s="40"/>
      <c r="AV36" s="40"/>
    </row>
    <row r="37" spans="1:48">
      <c r="A37" s="47" t="s">
        <v>20</v>
      </c>
      <c r="B37" s="9"/>
      <c r="C37" s="9" t="s">
        <v>18</v>
      </c>
      <c r="D37" s="5">
        <v>11</v>
      </c>
      <c r="E37" s="5" t="s">
        <v>58</v>
      </c>
      <c r="F37" s="5" t="str">
        <f t="shared" si="1"/>
        <v>紫11</v>
      </c>
      <c r="G37" s="5" t="s">
        <v>65</v>
      </c>
      <c r="H37" s="142"/>
      <c r="I37" s="109" t="s">
        <v>140</v>
      </c>
      <c r="J37" s="140"/>
      <c r="K37" s="39" t="str">
        <f>IFERROR(VLOOKUP(I37,中介表!$A$1:$C$21,2,FALSE),"")</f>
        <v>九天玄女</v>
      </c>
      <c r="L37" s="139"/>
      <c r="M37" s="39" t="str">
        <f>IFERROR(VLOOKUP(I37,中介表!$A$1:$C$21,3,FALSE),"")</f>
        <v>文殊菩萨</v>
      </c>
      <c r="N37" s="39"/>
      <c r="O37" s="47" t="s">
        <v>157</v>
      </c>
      <c r="P37" s="46" t="s">
        <v>54</v>
      </c>
      <c r="Q37" s="47" t="s">
        <v>160</v>
      </c>
      <c r="R37" s="39"/>
      <c r="T37" s="47" t="s">
        <v>20</v>
      </c>
      <c r="U37" s="41"/>
      <c r="V37" s="124" t="str">
        <f>IFERROR(VLOOKUP(V17,中介表!$A$1:$C$21,2,FALSE),"")</f>
        <v>牛头</v>
      </c>
      <c r="W37" s="124" t="str">
        <f>IFERROR(VLOOKUP(W17,中介表!$A$1:$C$21,2,FALSE),"")</f>
        <v>雷公</v>
      </c>
      <c r="X37" s="124" t="str">
        <f>IFERROR(VLOOKUP(X17,中介表!$A$1:$C$21,2,FALSE),"")</f>
        <v>马面</v>
      </c>
      <c r="Y37" s="124" t="str">
        <f>IFERROR(VLOOKUP(Y17,中介表!$A$1:$C$21,2,FALSE),"")</f>
        <v/>
      </c>
      <c r="Z37" s="124" t="str">
        <f>IFERROR(VLOOKUP(Z17,中介表!$A$1:$C$21,2,FALSE),"")</f>
        <v>泾河龙王</v>
      </c>
      <c r="AA37" s="124" t="str">
        <f>IFERROR(VLOOKUP(AA17,中介表!$A$1:$C$21,2,FALSE),"")</f>
        <v>雷公</v>
      </c>
      <c r="AB37" s="124" t="str">
        <f>IFERROR(VLOOKUP(AB17,中介表!$A$1:$C$21,2,FALSE),"")</f>
        <v/>
      </c>
      <c r="AC37" s="124" t="str">
        <f>IFERROR(VLOOKUP(AC17,中介表!$A$1:$C$21,2,FALSE),"")</f>
        <v>雷公</v>
      </c>
      <c r="AD37" s="124" t="str">
        <f>IFERROR(VLOOKUP(AD17,中介表!$A$1:$C$21,2,FALSE),"")</f>
        <v>鬼使白</v>
      </c>
      <c r="AE37" s="124" t="str">
        <f>IFERROR(VLOOKUP(AE17,中介表!$A$1:$C$21,2,FALSE),"")</f>
        <v/>
      </c>
      <c r="AF37" s="124" t="str">
        <f>IFERROR(VLOOKUP(AF17,中介表!$A$1:$C$21,2,FALSE),"")</f>
        <v>雷公</v>
      </c>
      <c r="AG37" s="124" t="str">
        <f>IFERROR(VLOOKUP(AG17,中介表!$A$1:$C$21,2,FALSE),"")</f>
        <v>牛头</v>
      </c>
      <c r="AH37" s="124" t="str">
        <f>IFERROR(VLOOKUP(AH17,中介表!$A$1:$C$21,2,FALSE),"")</f>
        <v/>
      </c>
      <c r="AI37" s="124" t="str">
        <f>IFERROR(VLOOKUP(AI17,中介表!$A$1:$C$21,2,FALSE),"")</f>
        <v/>
      </c>
      <c r="AJ37" s="124" t="str">
        <f>IFERROR(VLOOKUP(AJ17,中介表!$A$1:$C$21,2,FALSE),"")</f>
        <v/>
      </c>
      <c r="AK37" s="124" t="str">
        <f>IFERROR(VLOOKUP(AK17,中介表!$A$1:$C$21,2,FALSE),"")</f>
        <v/>
      </c>
      <c r="AL37" s="124" t="str">
        <f>IFERROR(VLOOKUP(AL17,中介表!$A$1:$C$21,2,FALSE),"")</f>
        <v/>
      </c>
      <c r="AM37" s="124" t="str">
        <f>IFERROR(VLOOKUP(AM17,中介表!$A$1:$C$21,2,FALSE),"")</f>
        <v/>
      </c>
      <c r="AN37" s="124" t="str">
        <f>IFERROR(VLOOKUP(AN17,中介表!$A$1:$C$21,2,FALSE),"")</f>
        <v/>
      </c>
      <c r="AO37" s="124" t="str">
        <f>IFERROR(VLOOKUP(AO17,中介表!$A$1:$C$21,2,FALSE),"")</f>
        <v/>
      </c>
      <c r="AP37" s="124" t="str">
        <f>IFERROR(VLOOKUP(AP17,中介表!$A$1:$C$21,2,FALSE),"")</f>
        <v/>
      </c>
      <c r="AQ37" s="124"/>
      <c r="AR37" s="41"/>
      <c r="AS37" s="41"/>
      <c r="AT37" s="40"/>
      <c r="AU37" s="40"/>
      <c r="AV37" s="40"/>
    </row>
    <row r="38" spans="1:48">
      <c r="A38" s="47" t="s">
        <v>75</v>
      </c>
      <c r="B38" s="9"/>
      <c r="C38" s="9" t="s">
        <v>18</v>
      </c>
      <c r="D38" s="5">
        <v>11</v>
      </c>
      <c r="E38" s="5" t="s">
        <v>58</v>
      </c>
      <c r="F38" s="5" t="str">
        <f t="shared" ref="F38:F58" si="2">C38&amp;D38</f>
        <v>紫11</v>
      </c>
      <c r="G38" s="5" t="s">
        <v>65</v>
      </c>
      <c r="H38" s="142"/>
      <c r="I38" s="109" t="s">
        <v>153</v>
      </c>
      <c r="J38" s="140"/>
      <c r="K38" s="39" t="str">
        <f>IFERROR(VLOOKUP(I38,中介表!$A$1:$C$21,2,FALSE),"")</f>
        <v>嫦娥</v>
      </c>
      <c r="L38" s="139"/>
      <c r="M38" s="39" t="str">
        <f>IFERROR(VLOOKUP(I38,中介表!$A$1:$C$21,3,FALSE),"")</f>
        <v>观世音</v>
      </c>
      <c r="N38" s="39"/>
      <c r="O38" s="46" t="s">
        <v>53</v>
      </c>
      <c r="P38" s="46" t="s">
        <v>54</v>
      </c>
      <c r="Q38" s="44"/>
      <c r="R38" s="39"/>
      <c r="T38" s="47" t="s">
        <v>75</v>
      </c>
      <c r="U38" s="41"/>
      <c r="V38" s="124" t="str">
        <f>IFERROR(VLOOKUP(V18,中介表!$A$1:$C$21,2,FALSE),"")</f>
        <v>鬼使黑</v>
      </c>
      <c r="W38" s="124" t="str">
        <f>IFERROR(VLOOKUP(W18,中介表!$A$1:$C$21,2,FALSE),"")</f>
        <v>马面</v>
      </c>
      <c r="X38" s="124" t="str">
        <f>IFERROR(VLOOKUP(X18,中介表!$A$1:$C$21,2,FALSE),"")</f>
        <v>泾河龙王</v>
      </c>
      <c r="Y38" s="124" t="str">
        <f>IFERROR(VLOOKUP(Y18,中介表!$A$1:$C$21,2,FALSE),"")</f>
        <v/>
      </c>
      <c r="Z38" s="124" t="str">
        <f>IFERROR(VLOOKUP(Z18,中介表!$A$1:$C$21,2,FALSE),"")</f>
        <v>鬼使黑</v>
      </c>
      <c r="AA38" s="124" t="str">
        <f>IFERROR(VLOOKUP(AA18,中介表!$A$1:$C$21,2,FALSE),"")</f>
        <v>鬼使白</v>
      </c>
      <c r="AB38" s="124" t="str">
        <f>IFERROR(VLOOKUP(AB18,中介表!$A$1:$C$21,2,FALSE),"")</f>
        <v/>
      </c>
      <c r="AC38" s="124" t="str">
        <f>IFERROR(VLOOKUP(AC18,中介表!$A$1:$C$21,2,FALSE),"")</f>
        <v>鬼使黑</v>
      </c>
      <c r="AD38" s="124" t="str">
        <f>IFERROR(VLOOKUP(AD18,中介表!$A$1:$C$21,2,FALSE),"")</f>
        <v>牛头</v>
      </c>
      <c r="AE38" s="124" t="str">
        <f>IFERROR(VLOOKUP(AE18,中介表!$A$1:$C$21,2,FALSE),"")</f>
        <v/>
      </c>
      <c r="AF38" s="124" t="str">
        <f>IFERROR(VLOOKUP(AF18,中介表!$A$1:$C$21,2,FALSE),"")</f>
        <v>泾河龙王</v>
      </c>
      <c r="AG38" s="124" t="str">
        <f>IFERROR(VLOOKUP(AG18,中介表!$A$1:$C$21,2,FALSE),"")</f>
        <v>鬼使黑</v>
      </c>
      <c r="AH38" s="124" t="str">
        <f>IFERROR(VLOOKUP(AH18,中介表!$A$1:$C$21,2,FALSE),"")</f>
        <v/>
      </c>
      <c r="AI38" s="124" t="str">
        <f>IFERROR(VLOOKUP(AI18,中介表!$A$1:$C$21,2,FALSE),"")</f>
        <v/>
      </c>
      <c r="AJ38" s="124" t="str">
        <f>IFERROR(VLOOKUP(AJ18,中介表!$A$1:$C$21,2,FALSE),"")</f>
        <v/>
      </c>
      <c r="AK38" s="124" t="str">
        <f>IFERROR(VLOOKUP(AK18,中介表!$A$1:$C$21,2,FALSE),"")</f>
        <v/>
      </c>
      <c r="AL38" s="124" t="str">
        <f>IFERROR(VLOOKUP(AL18,中介表!$A$1:$C$21,2,FALSE),"")</f>
        <v/>
      </c>
      <c r="AM38" s="124" t="str">
        <f>IFERROR(VLOOKUP(AM18,中介表!$A$1:$C$21,2,FALSE),"")</f>
        <v/>
      </c>
      <c r="AN38" s="124" t="str">
        <f>IFERROR(VLOOKUP(AN18,中介表!$A$1:$C$21,2,FALSE),"")</f>
        <v/>
      </c>
      <c r="AO38" s="124" t="str">
        <f>IFERROR(VLOOKUP(AO18,中介表!$A$1:$C$21,2,FALSE),"")</f>
        <v/>
      </c>
      <c r="AP38" s="124" t="str">
        <f>IFERROR(VLOOKUP(AP18,中介表!$A$1:$C$21,2,FALSE),"")</f>
        <v/>
      </c>
      <c r="AQ38" s="124"/>
      <c r="AR38" s="41"/>
      <c r="AS38" s="41"/>
      <c r="AT38" s="40"/>
      <c r="AU38" s="40"/>
      <c r="AV38" s="40"/>
    </row>
    <row r="39" spans="1:48">
      <c r="A39" s="47" t="s">
        <v>76</v>
      </c>
      <c r="B39" s="9"/>
      <c r="C39" s="9" t="s">
        <v>18</v>
      </c>
      <c r="D39" s="5">
        <v>11</v>
      </c>
      <c r="E39" s="5" t="s">
        <v>58</v>
      </c>
      <c r="F39" s="5" t="str">
        <f t="shared" si="2"/>
        <v>紫11</v>
      </c>
      <c r="G39" s="5" t="s">
        <v>65</v>
      </c>
      <c r="I39" s="109"/>
      <c r="K39" s="39" t="str">
        <f>IFERROR(VLOOKUP(I39,中介表!$A$1:$C$21,2,FALSE),"")</f>
        <v/>
      </c>
      <c r="L39" s="39"/>
      <c r="M39" s="39" t="str">
        <f>IFERROR(VLOOKUP(I39,中介表!$A$1:$C$21,3,FALSE),"")</f>
        <v/>
      </c>
      <c r="N39" s="39"/>
      <c r="O39" s="46" t="s">
        <v>55</v>
      </c>
      <c r="P39" s="46" t="s">
        <v>171</v>
      </c>
      <c r="Q39" s="44"/>
      <c r="R39" s="39"/>
      <c r="T39" s="47" t="s">
        <v>76</v>
      </c>
      <c r="U39" s="41"/>
      <c r="V39" s="124" t="str">
        <f>IFERROR(VLOOKUP(V19,中介表!$A$1:$C$21,2,FALSE),"")</f>
        <v>鬼使黑</v>
      </c>
      <c r="W39" s="124" t="str">
        <f>IFERROR(VLOOKUP(W19,中介表!$A$1:$C$21,2,FALSE),"")</f>
        <v>鬼使白</v>
      </c>
      <c r="X39" s="124" t="str">
        <f>IFERROR(VLOOKUP(X19,中介表!$A$1:$C$21,2,FALSE),"")</f>
        <v/>
      </c>
      <c r="Y39" s="124" t="str">
        <f>IFERROR(VLOOKUP(Y19,中介表!$A$1:$C$21,2,FALSE),"")</f>
        <v>雷公</v>
      </c>
      <c r="Z39" s="124" t="str">
        <f>IFERROR(VLOOKUP(Z19,中介表!$A$1:$C$21,2,FALSE),"")</f>
        <v>鬼使白</v>
      </c>
      <c r="AA39" s="124" t="str">
        <f>IFERROR(VLOOKUP(AA19,中介表!$A$1:$C$21,2,FALSE),"")</f>
        <v/>
      </c>
      <c r="AB39" s="124" t="str">
        <f>IFERROR(VLOOKUP(AB19,中介表!$A$1:$C$21,2,FALSE),"")</f>
        <v>鬼使白</v>
      </c>
      <c r="AC39" s="124" t="str">
        <f>IFERROR(VLOOKUP(AC19,中介表!$A$1:$C$21,2,FALSE),"")</f>
        <v>马面</v>
      </c>
      <c r="AD39" s="124" t="str">
        <f>IFERROR(VLOOKUP(AD19,中介表!$A$1:$C$21,2,FALSE),"")</f>
        <v/>
      </c>
      <c r="AE39" s="124" t="str">
        <f>IFERROR(VLOOKUP(AE19,中介表!$A$1:$C$21,2,FALSE),"")</f>
        <v>泾河龙王</v>
      </c>
      <c r="AF39" s="124" t="str">
        <f>IFERROR(VLOOKUP(AF19,中介表!$A$1:$C$21,2,FALSE),"")</f>
        <v>鬼使白</v>
      </c>
      <c r="AG39" s="124" t="str">
        <f>IFERROR(VLOOKUP(AG19,中介表!$A$1:$C$21,2,FALSE),"")</f>
        <v/>
      </c>
      <c r="AH39" s="124" t="str">
        <f>IFERROR(VLOOKUP(AH19,中介表!$A$1:$C$21,2,FALSE),"")</f>
        <v/>
      </c>
      <c r="AI39" s="124" t="str">
        <f>IFERROR(VLOOKUP(AI19,中介表!$A$1:$C$21,2,FALSE),"")</f>
        <v/>
      </c>
      <c r="AJ39" s="124" t="str">
        <f>IFERROR(VLOOKUP(AJ19,中介表!$A$1:$C$21,2,FALSE),"")</f>
        <v/>
      </c>
      <c r="AK39" s="124" t="str">
        <f>IFERROR(VLOOKUP(AK19,中介表!$A$1:$C$21,2,FALSE),"")</f>
        <v/>
      </c>
      <c r="AL39" s="124" t="str">
        <f>IFERROR(VLOOKUP(AL19,中介表!$A$1:$C$21,2,FALSE),"")</f>
        <v/>
      </c>
      <c r="AM39" s="124" t="str">
        <f>IFERROR(VLOOKUP(AM19,中介表!$A$1:$C$21,2,FALSE),"")</f>
        <v/>
      </c>
      <c r="AN39" s="124" t="str">
        <f>IFERROR(VLOOKUP(AN19,中介表!$A$1:$C$21,2,FALSE),"")</f>
        <v/>
      </c>
      <c r="AO39" s="124" t="str">
        <f>IFERROR(VLOOKUP(AO19,中介表!$A$1:$C$21,2,FALSE),"")</f>
        <v/>
      </c>
      <c r="AP39" s="124" t="str">
        <f>IFERROR(VLOOKUP(AP19,中介表!$A$1:$C$21,2,FALSE),"")</f>
        <v/>
      </c>
      <c r="AQ39" s="124"/>
      <c r="AR39" s="41"/>
      <c r="AS39" s="41"/>
      <c r="AT39" s="40"/>
      <c r="AU39" s="40"/>
      <c r="AV39" s="40"/>
    </row>
    <row r="40" spans="1:48">
      <c r="A40" s="46" t="s">
        <v>70</v>
      </c>
      <c r="B40" s="7"/>
      <c r="C40" s="7" t="s">
        <v>18</v>
      </c>
      <c r="D40" s="36">
        <v>11</v>
      </c>
      <c r="E40" s="36" t="s">
        <v>59</v>
      </c>
      <c r="F40" s="36" t="str">
        <f t="shared" ref="F40:F47" si="3">C40&amp;D40</f>
        <v>紫11</v>
      </c>
      <c r="G40" s="36" t="s">
        <v>63</v>
      </c>
      <c r="H40" s="142" t="s">
        <v>683</v>
      </c>
      <c r="I40" s="109" t="s">
        <v>22</v>
      </c>
      <c r="J40" s="140" t="s">
        <v>575</v>
      </c>
      <c r="K40" s="39" t="str">
        <f>IFERROR(VLOOKUP(I40,中介表!$A$1:$C$21,2,FALSE),"")</f>
        <v>托塔天王</v>
      </c>
      <c r="L40" s="139" t="s">
        <v>609</v>
      </c>
      <c r="M40" s="39" t="str">
        <f>IFERROR(VLOOKUP(I40,中介表!$A$1:$C$21,3,FALSE),"")</f>
        <v>金蝉子</v>
      </c>
      <c r="N40" s="39"/>
      <c r="O40" s="47" t="s">
        <v>157</v>
      </c>
      <c r="P40" s="47" t="s">
        <v>160</v>
      </c>
      <c r="Q40" s="44"/>
      <c r="R40" s="39"/>
      <c r="T40" s="46" t="s">
        <v>70</v>
      </c>
      <c r="U40" s="41"/>
      <c r="V40" s="124" t="str">
        <f>IFERROR(VLOOKUP(V20,中介表!$A$1:$C$21,2,FALSE),"")</f>
        <v>牛头</v>
      </c>
      <c r="W40" s="124" t="str">
        <f>IFERROR(VLOOKUP(W20,中介表!$A$1:$C$21,2,FALSE),"")</f>
        <v>雷公</v>
      </c>
      <c r="X40" s="124" t="str">
        <f>IFERROR(VLOOKUP(X20,中介表!$A$1:$C$21,2,FALSE),"")</f>
        <v>马面</v>
      </c>
      <c r="Y40" s="124" t="str">
        <f>IFERROR(VLOOKUP(Y20,中介表!$A$1:$C$21,2,FALSE),"")</f>
        <v/>
      </c>
      <c r="Z40" s="124" t="str">
        <f>IFERROR(VLOOKUP(Z20,中介表!$A$1:$C$21,2,FALSE),"")</f>
        <v>牛头</v>
      </c>
      <c r="AA40" s="124" t="str">
        <f>IFERROR(VLOOKUP(AA20,中介表!$A$1:$C$21,2,FALSE),"")</f>
        <v>马面</v>
      </c>
      <c r="AB40" s="124" t="str">
        <f>IFERROR(VLOOKUP(AB20,中介表!$A$1:$C$21,2,FALSE),"")</f>
        <v/>
      </c>
      <c r="AC40" s="124" t="str">
        <f>IFERROR(VLOOKUP(AC20,中介表!$A$1:$C$21,2,FALSE),"")</f>
        <v>鬼使黑</v>
      </c>
      <c r="AD40" s="124" t="str">
        <f>IFERROR(VLOOKUP(AD20,中介表!$A$1:$C$21,2,FALSE),"")</f>
        <v>牛头</v>
      </c>
      <c r="AE40" s="124" t="str">
        <f>IFERROR(VLOOKUP(AE20,中介表!$A$1:$C$21,2,FALSE),"")</f>
        <v/>
      </c>
      <c r="AF40" s="124" t="str">
        <f>IFERROR(VLOOKUP(AF20,中介表!$A$1:$C$21,2,FALSE),"")</f>
        <v>雷公</v>
      </c>
      <c r="AG40" s="124" t="str">
        <f>IFERROR(VLOOKUP(AG20,中介表!$A$1:$C$21,2,FALSE),"")</f>
        <v>牛头</v>
      </c>
      <c r="AH40" s="124" t="str">
        <f>IFERROR(VLOOKUP(AH20,中介表!$A$1:$C$21,2,FALSE),"")</f>
        <v/>
      </c>
      <c r="AI40" s="124" t="str">
        <f>IFERROR(VLOOKUP(AI20,中介表!$A$1:$C$21,2,FALSE),"")</f>
        <v/>
      </c>
      <c r="AJ40" s="124" t="str">
        <f>IFERROR(VLOOKUP(AJ20,中介表!$A$1:$C$21,2,FALSE),"")</f>
        <v/>
      </c>
      <c r="AK40" s="124" t="str">
        <f>IFERROR(VLOOKUP(AK20,中介表!$A$1:$C$21,2,FALSE),"")</f>
        <v/>
      </c>
      <c r="AL40" s="124" t="str">
        <f>IFERROR(VLOOKUP(AL20,中介表!$A$1:$C$21,2,FALSE),"")</f>
        <v/>
      </c>
      <c r="AM40" s="124" t="str">
        <f>IFERROR(VLOOKUP(AM20,中介表!$A$1:$C$21,2,FALSE),"")</f>
        <v/>
      </c>
      <c r="AN40" s="124" t="str">
        <f>IFERROR(VLOOKUP(AN20,中介表!$A$1:$C$21,2,FALSE),"")</f>
        <v/>
      </c>
      <c r="AO40" s="124" t="str">
        <f>IFERROR(VLOOKUP(AO20,中介表!$A$1:$C$21,2,FALSE),"")</f>
        <v/>
      </c>
      <c r="AP40" s="124" t="str">
        <f>IFERROR(VLOOKUP(AP20,中介表!$A$1:$C$21,2,FALSE),"")</f>
        <v/>
      </c>
      <c r="AQ40" s="124"/>
      <c r="AR40" s="41"/>
      <c r="AS40" s="41"/>
      <c r="AT40" s="40"/>
      <c r="AU40" s="40"/>
      <c r="AV40" s="40"/>
    </row>
    <row r="41" spans="1:48">
      <c r="A41" s="46" t="s">
        <v>71</v>
      </c>
      <c r="B41" s="7"/>
      <c r="C41" s="7" t="s">
        <v>18</v>
      </c>
      <c r="D41" s="36">
        <v>11</v>
      </c>
      <c r="E41" s="36" t="s">
        <v>59</v>
      </c>
      <c r="F41" s="36" t="str">
        <f t="shared" si="3"/>
        <v>紫11</v>
      </c>
      <c r="G41" s="36" t="s">
        <v>65</v>
      </c>
      <c r="H41" s="142"/>
      <c r="I41" s="109" t="s">
        <v>24</v>
      </c>
      <c r="J41" s="140"/>
      <c r="K41" s="39" t="str">
        <f>IFERROR(VLOOKUP(I41,中介表!$A$1:$C$21,2,FALSE),"")</f>
        <v>赤脚大仙</v>
      </c>
      <c r="L41" s="139"/>
      <c r="M41" s="39" t="str">
        <f>IFERROR(VLOOKUP(I41,中介表!$A$1:$C$21,3,FALSE),"")</f>
        <v>唐三藏</v>
      </c>
      <c r="N41" s="39"/>
      <c r="O41" s="46" t="s">
        <v>53</v>
      </c>
      <c r="P41" s="46" t="s">
        <v>830</v>
      </c>
      <c r="Q41" s="44"/>
      <c r="R41" s="39"/>
      <c r="T41" s="46" t="s">
        <v>71</v>
      </c>
      <c r="U41" s="41"/>
      <c r="V41" s="124" t="str">
        <f>IFERROR(VLOOKUP(V21,中介表!$A$1:$C$21,2,FALSE),"")</f>
        <v>鬼使黑</v>
      </c>
      <c r="W41" s="124" t="str">
        <f>IFERROR(VLOOKUP(W21,中介表!$A$1:$C$21,2,FALSE),"")</f>
        <v>马面</v>
      </c>
      <c r="X41" s="124" t="str">
        <f>IFERROR(VLOOKUP(X21,中介表!$A$1:$C$21,2,FALSE),"")</f>
        <v>泾河龙王</v>
      </c>
      <c r="Y41" s="124" t="str">
        <f>IFERROR(VLOOKUP(Y21,中介表!$A$1:$C$21,2,FALSE),"")</f>
        <v/>
      </c>
      <c r="Z41" s="124" t="str">
        <f>IFERROR(VLOOKUP(Z21,中介表!$A$1:$C$21,2,FALSE),"")</f>
        <v>牛头</v>
      </c>
      <c r="AA41" s="124" t="str">
        <f>IFERROR(VLOOKUP(AA21,中介表!$A$1:$C$21,2,FALSE),"")</f>
        <v>雷公</v>
      </c>
      <c r="AB41" s="124" t="str">
        <f>IFERROR(VLOOKUP(AB21,中介表!$A$1:$C$21,2,FALSE),"")</f>
        <v>马面</v>
      </c>
      <c r="AC41" s="124" t="str">
        <f>IFERROR(VLOOKUP(AC21,中介表!$A$1:$C$21,2,FALSE),"")</f>
        <v/>
      </c>
      <c r="AD41" s="124" t="str">
        <f>IFERROR(VLOOKUP(AD21,中介表!$A$1:$C$21,2,FALSE),"")</f>
        <v>牛头</v>
      </c>
      <c r="AE41" s="124" t="str">
        <f>IFERROR(VLOOKUP(AE21,中介表!$A$1:$C$21,2,FALSE),"")</f>
        <v>马面</v>
      </c>
      <c r="AF41" s="124" t="str">
        <f>IFERROR(VLOOKUP(AF21,中介表!$A$1:$C$21,2,FALSE),"")</f>
        <v/>
      </c>
      <c r="AG41" s="124" t="str">
        <f>IFERROR(VLOOKUP(AG21,中介表!$A$1:$C$21,2,FALSE),"")</f>
        <v>鬼使白</v>
      </c>
      <c r="AH41" s="124" t="str">
        <f>IFERROR(VLOOKUP(AH21,中介表!$A$1:$C$21,2,FALSE),"")</f>
        <v>马面</v>
      </c>
      <c r="AI41" s="124" t="str">
        <f>IFERROR(VLOOKUP(AI21,中介表!$A$1:$C$21,2,FALSE),"")</f>
        <v/>
      </c>
      <c r="AJ41" s="124" t="str">
        <f>IFERROR(VLOOKUP(AJ21,中介表!$A$1:$C$21,2,FALSE),"")</f>
        <v/>
      </c>
      <c r="AK41" s="124" t="str">
        <f>IFERROR(VLOOKUP(AK21,中介表!$A$1:$C$21,2,FALSE),"")</f>
        <v/>
      </c>
      <c r="AL41" s="124" t="str">
        <f>IFERROR(VLOOKUP(AL21,中介表!$A$1:$C$21,2,FALSE),"")</f>
        <v/>
      </c>
      <c r="AM41" s="124" t="str">
        <f>IFERROR(VLOOKUP(AM21,中介表!$A$1:$C$21,2,FALSE),"")</f>
        <v/>
      </c>
      <c r="AN41" s="124" t="str">
        <f>IFERROR(VLOOKUP(AN21,中介表!$A$1:$C$21,2,FALSE),"")</f>
        <v/>
      </c>
      <c r="AO41" s="124" t="str">
        <f>IFERROR(VLOOKUP(AO21,中介表!$A$1:$C$21,2,FALSE),"")</f>
        <v/>
      </c>
      <c r="AP41" s="124" t="str">
        <f>IFERROR(VLOOKUP(AP21,中介表!$A$1:$C$21,2,FALSE),"")</f>
        <v/>
      </c>
      <c r="AQ41" s="124"/>
      <c r="AR41" s="41"/>
      <c r="AS41" s="41"/>
      <c r="AT41" s="40"/>
      <c r="AU41" s="40"/>
      <c r="AV41" s="40"/>
    </row>
    <row r="42" spans="1:48">
      <c r="A42" s="119" t="s">
        <v>61</v>
      </c>
      <c r="B42" s="119"/>
      <c r="C42" s="119" t="s">
        <v>11</v>
      </c>
      <c r="D42" s="3">
        <v>20</v>
      </c>
      <c r="E42" s="3" t="s">
        <v>60</v>
      </c>
      <c r="F42" s="3" t="str">
        <f t="shared" si="3"/>
        <v>橙20</v>
      </c>
      <c r="G42" s="3" t="s">
        <v>89</v>
      </c>
      <c r="I42" s="109"/>
      <c r="K42" s="39" t="str">
        <f>IFERROR(VLOOKUP(I42,中介表!$A$1:$C$21,2,FALSE),"")</f>
        <v/>
      </c>
      <c r="L42" s="39"/>
      <c r="M42" s="39" t="str">
        <f>IFERROR(VLOOKUP(I42,中介表!$A$1:$C$21,3,FALSE),"")</f>
        <v/>
      </c>
      <c r="N42" s="39"/>
      <c r="O42" s="46" t="s">
        <v>54</v>
      </c>
      <c r="P42" s="46" t="s">
        <v>171</v>
      </c>
      <c r="Q42" s="44"/>
      <c r="R42" s="39"/>
      <c r="T42" s="119" t="s">
        <v>61</v>
      </c>
      <c r="U42" s="40"/>
      <c r="V42" s="126" t="str">
        <f>IFERROR(VLOOKUP(V2,中介表!$A$1:$C$21,3,FALSE),"")</f>
        <v>斗战胜佛</v>
      </c>
      <c r="W42" s="126" t="str">
        <f>IFERROR(VLOOKUP(W2,中介表!$A$1:$C$21,3,FALSE),"")</f>
        <v>紫霞仙子</v>
      </c>
      <c r="X42" s="126" t="str">
        <f>IFERROR(VLOOKUP(X2,中介表!$A$1:$C$21,3,FALSE),"")</f>
        <v>弥勒佛</v>
      </c>
      <c r="Y42" s="126" t="str">
        <f>IFERROR(VLOOKUP(Y2,中介表!$A$1:$C$21,3,FALSE),"")</f>
        <v>文殊菩萨</v>
      </c>
      <c r="Z42" s="126" t="str">
        <f>IFERROR(VLOOKUP(Z2,中介表!$A$1:$C$21,3,FALSE),"")</f>
        <v/>
      </c>
      <c r="AA42" s="126" t="str">
        <f>IFERROR(VLOOKUP(AA2,中介表!$A$1:$C$21,3,FALSE),"")</f>
        <v>斗战胜佛</v>
      </c>
      <c r="AB42" s="126" t="str">
        <f>IFERROR(VLOOKUP(AB2,中介表!$A$1:$C$21,3,FALSE),"")</f>
        <v>紫霞仙子</v>
      </c>
      <c r="AC42" s="126" t="str">
        <f>IFERROR(VLOOKUP(AC2,中介表!$A$1:$C$21,3,FALSE),"")</f>
        <v>金蝉子</v>
      </c>
      <c r="AD42" s="126" t="str">
        <f>IFERROR(VLOOKUP(AD2,中介表!$A$1:$C$21,3,FALSE),"")</f>
        <v/>
      </c>
      <c r="AE42" s="126" t="str">
        <f>IFERROR(VLOOKUP(AE2,中介表!$A$1:$C$21,3,FALSE),"")</f>
        <v>斗战胜佛</v>
      </c>
      <c r="AF42" s="126" t="str">
        <f>IFERROR(VLOOKUP(AF2,中介表!$A$1:$C$21,3,FALSE),"")</f>
        <v>文殊菩萨</v>
      </c>
      <c r="AG42" s="126" t="str">
        <f>IFERROR(VLOOKUP(AG2,中介表!$A$1:$C$21,3,FALSE),"")</f>
        <v/>
      </c>
      <c r="AH42" s="126" t="str">
        <f>IFERROR(VLOOKUP(AH2,中介表!$A$1:$C$21,3,FALSE),"")</f>
        <v>斗战胜佛</v>
      </c>
      <c r="AI42" s="126" t="str">
        <f>IFERROR(VLOOKUP(AI2,中介表!$A$1:$C$21,3,FALSE),"")</f>
        <v>红孩儿</v>
      </c>
      <c r="AJ42" s="126" t="str">
        <f>IFERROR(VLOOKUP(AJ2,中介表!$A$1:$C$21,3,FALSE),"")</f>
        <v/>
      </c>
      <c r="AK42" s="126" t="str">
        <f>IFERROR(VLOOKUP(AK2,中介表!$A$1:$C$21,3,FALSE),"")</f>
        <v>斗战胜佛</v>
      </c>
      <c r="AL42" s="126" t="str">
        <f>IFERROR(VLOOKUP(AL2,中介表!$A$1:$C$21,3,FALSE),"")</f>
        <v>人参娃</v>
      </c>
      <c r="AM42" s="126" t="str">
        <f>IFERROR(VLOOKUP(AM2,中介表!$A$1:$C$21,3,FALSE),"")</f>
        <v/>
      </c>
      <c r="AN42" s="126" t="str">
        <f>IFERROR(VLOOKUP(AN2,中介表!$A$1:$C$21,3,FALSE),"")</f>
        <v>斗战胜佛</v>
      </c>
      <c r="AO42" s="126" t="str">
        <f>IFERROR(VLOOKUP(AO2,中介表!$A$1:$C$21,3,FALSE),"")</f>
        <v>唐三藏</v>
      </c>
      <c r="AP42" s="126" t="str">
        <f>IFERROR(VLOOKUP(AP2,中介表!$A$1:$C$21,3,FALSE),"")</f>
        <v/>
      </c>
      <c r="AQ42" s="126" t="str">
        <f>IFERROR(VLOOKUP(AQ2,中介表!$A$1:$C$21,3,FALSE),"")</f>
        <v/>
      </c>
      <c r="AR42" s="40" t="str">
        <f>IFERROR(VLOOKUP(AR2,中介表!$A$1:$C$21,3,FALSE),"")</f>
        <v/>
      </c>
      <c r="AS42" s="40" t="str">
        <f>IFERROR(VLOOKUP(AS2,中介表!$A$1:$C$21,3,FALSE),"")</f>
        <v/>
      </c>
      <c r="AT42" s="40"/>
      <c r="AU42" s="40"/>
      <c r="AV42" s="40"/>
    </row>
    <row r="43" spans="1:48">
      <c r="A43" s="119" t="s">
        <v>94</v>
      </c>
      <c r="B43" s="119"/>
      <c r="C43" s="119" t="s">
        <v>11</v>
      </c>
      <c r="D43" s="3">
        <v>20</v>
      </c>
      <c r="E43" s="3" t="s">
        <v>60</v>
      </c>
      <c r="F43" s="3" t="str">
        <f t="shared" si="3"/>
        <v>橙20</v>
      </c>
      <c r="G43" s="3" t="s">
        <v>65</v>
      </c>
      <c r="H43" s="142" t="s">
        <v>544</v>
      </c>
      <c r="I43" s="109" t="s">
        <v>138</v>
      </c>
      <c r="J43" s="140" t="s">
        <v>576</v>
      </c>
      <c r="K43" s="39" t="str">
        <f>IFERROR(VLOOKUP(I43,中介表!$A$1:$C$21,2,FALSE),"")</f>
        <v>黑无常</v>
      </c>
      <c r="L43" s="139" t="s">
        <v>610</v>
      </c>
      <c r="M43" s="39" t="str">
        <f>IFERROR(VLOOKUP(I43,中介表!$A$1:$C$21,3,FALSE),"")</f>
        <v>弥勒佛</v>
      </c>
      <c r="N43" s="39"/>
      <c r="O43" s="46" t="s">
        <v>55</v>
      </c>
      <c r="P43" s="47" t="s">
        <v>157</v>
      </c>
      <c r="Q43" s="44"/>
      <c r="R43" s="39"/>
      <c r="T43" s="119" t="s">
        <v>94</v>
      </c>
      <c r="U43" s="40"/>
      <c r="V43" s="126" t="str">
        <f>IFERROR(VLOOKUP(V3,中介表!$A$1:$C$21,3,FALSE),"")</f>
        <v>斗战胜佛</v>
      </c>
      <c r="W43" s="126" t="str">
        <f>IFERROR(VLOOKUP(W3,中介表!$A$1:$C$21,3,FALSE),"")</f>
        <v>紫霞仙子</v>
      </c>
      <c r="X43" s="126" t="str">
        <f>IFERROR(VLOOKUP(X3,中介表!$A$1:$C$21,3,FALSE),"")</f>
        <v>弥勒佛</v>
      </c>
      <c r="Y43" s="126" t="str">
        <f>IFERROR(VLOOKUP(Y3,中介表!$A$1:$C$21,3,FALSE),"")</f>
        <v>文殊菩萨</v>
      </c>
      <c r="Z43" s="126" t="str">
        <f>IFERROR(VLOOKUP(Z3,中介表!$A$1:$C$21,3,FALSE),"")</f>
        <v/>
      </c>
      <c r="AA43" s="126" t="str">
        <f>IFERROR(VLOOKUP(AA3,中介表!$A$1:$C$21,3,FALSE),"")</f>
        <v>斗战胜佛</v>
      </c>
      <c r="AB43" s="126" t="str">
        <f>IFERROR(VLOOKUP(AB3,中介表!$A$1:$C$21,3,FALSE),"")</f>
        <v>紫霞仙子</v>
      </c>
      <c r="AC43" s="126" t="str">
        <f>IFERROR(VLOOKUP(AC3,中介表!$A$1:$C$21,3,FALSE),"")</f>
        <v>金蝉子</v>
      </c>
      <c r="AD43" s="126" t="str">
        <f>IFERROR(VLOOKUP(AD3,中介表!$A$1:$C$21,3,FALSE),"")</f>
        <v/>
      </c>
      <c r="AE43" s="126" t="str">
        <f>IFERROR(VLOOKUP(AE3,中介表!$A$1:$C$21,3,FALSE),"")</f>
        <v>紫霞仙子</v>
      </c>
      <c r="AF43" s="126" t="str">
        <f>IFERROR(VLOOKUP(AF3,中介表!$A$1:$C$21,3,FALSE),"")</f>
        <v>文殊菩萨</v>
      </c>
      <c r="AG43" s="126" t="str">
        <f>IFERROR(VLOOKUP(AG3,中介表!$A$1:$C$21,3,FALSE),"")</f>
        <v/>
      </c>
      <c r="AH43" s="126" t="str">
        <f>IFERROR(VLOOKUP(AH3,中介表!$A$1:$C$21,3,FALSE),"")</f>
        <v>紫霞仙子</v>
      </c>
      <c r="AI43" s="126" t="str">
        <f>IFERROR(VLOOKUP(AI3,中介表!$A$1:$C$21,3,FALSE),"")</f>
        <v>引魂仙子</v>
      </c>
      <c r="AJ43" s="126" t="str">
        <f>IFERROR(VLOOKUP(AJ3,中介表!$A$1:$C$21,3,FALSE),"")</f>
        <v/>
      </c>
      <c r="AK43" s="126" t="str">
        <f>IFERROR(VLOOKUP(AK3,中介表!$A$1:$C$21,3,FALSE),"")</f>
        <v>紫霞仙子</v>
      </c>
      <c r="AL43" s="126" t="str">
        <f>IFERROR(VLOOKUP(AL3,中介表!$A$1:$C$21,3,FALSE),"")</f>
        <v>女儿国国王</v>
      </c>
      <c r="AM43" s="126" t="str">
        <f>IFERROR(VLOOKUP(AM3,中介表!$A$1:$C$21,3,FALSE),"")</f>
        <v/>
      </c>
      <c r="AN43" s="126" t="str">
        <f>IFERROR(VLOOKUP(AN3,中介表!$A$1:$C$21,3,FALSE),"")</f>
        <v>紫霞仙子</v>
      </c>
      <c r="AO43" s="126" t="str">
        <f>IFERROR(VLOOKUP(AO3,中介表!$A$1:$C$21,3,FALSE),"")</f>
        <v>迦叶</v>
      </c>
      <c r="AP43" s="126" t="str">
        <f>IFERROR(VLOOKUP(AP3,中介表!$A$1:$C$21,3,FALSE),"")</f>
        <v/>
      </c>
      <c r="AQ43" s="126" t="str">
        <f>IFERROR(VLOOKUP(AQ3,中介表!$A$1:$C$21,3,FALSE),"")</f>
        <v/>
      </c>
      <c r="AR43" s="40" t="str">
        <f>IFERROR(VLOOKUP(AR3,中介表!$A$1:$C$21,3,FALSE),"")</f>
        <v/>
      </c>
      <c r="AS43" s="40" t="str">
        <f>IFERROR(VLOOKUP(AS3,中介表!$A$1:$C$21,3,FALSE),"")</f>
        <v/>
      </c>
      <c r="AT43" s="40"/>
      <c r="AU43" s="40"/>
      <c r="AV43" s="40"/>
    </row>
    <row r="44" spans="1:48">
      <c r="A44" s="11" t="s">
        <v>44</v>
      </c>
      <c r="B44" s="11"/>
      <c r="C44" s="11" t="s">
        <v>11</v>
      </c>
      <c r="D44" s="3">
        <v>16</v>
      </c>
      <c r="E44" s="3" t="s">
        <v>60</v>
      </c>
      <c r="F44" s="3" t="str">
        <f t="shared" si="3"/>
        <v>橙16</v>
      </c>
      <c r="G44" s="3" t="s">
        <v>65</v>
      </c>
      <c r="H44" s="142"/>
      <c r="I44" s="109" t="s">
        <v>24</v>
      </c>
      <c r="J44" s="140"/>
      <c r="K44" s="39" t="str">
        <f>IFERROR(VLOOKUP(I44,中介表!$A$1:$C$21,2,FALSE),"")</f>
        <v>赤脚大仙</v>
      </c>
      <c r="L44" s="139"/>
      <c r="M44" s="39" t="str">
        <f>IFERROR(VLOOKUP(I44,中介表!$A$1:$C$21,3,FALSE),"")</f>
        <v>唐三藏</v>
      </c>
      <c r="N44" s="39"/>
      <c r="O44" s="46" t="s">
        <v>171</v>
      </c>
      <c r="P44" s="47" t="s">
        <v>160</v>
      </c>
      <c r="Q44" s="44"/>
      <c r="R44" s="39"/>
      <c r="T44" s="11" t="s">
        <v>44</v>
      </c>
      <c r="U44" s="40"/>
      <c r="V44" s="126" t="str">
        <f>IFERROR(VLOOKUP(V4,中介表!$A$1:$C$21,3,FALSE),"")</f>
        <v>八部天龙</v>
      </c>
      <c r="W44" s="126" t="str">
        <f>IFERROR(VLOOKUP(W4,中介表!$A$1:$C$21,3,FALSE),"")</f>
        <v>龙帝</v>
      </c>
      <c r="X44" s="126" t="str">
        <f>IFERROR(VLOOKUP(X4,中介表!$A$1:$C$21,3,FALSE),"")</f>
        <v>金蝉子</v>
      </c>
      <c r="Y44" s="126" t="str">
        <f>IFERROR(VLOOKUP(Y4,中介表!$A$1:$C$21,3,FALSE),"")</f>
        <v>观世音</v>
      </c>
      <c r="Z44" s="126" t="str">
        <f>IFERROR(VLOOKUP(Z4,中介表!$A$1:$C$21,3,FALSE),"")</f>
        <v/>
      </c>
      <c r="AA44" s="126" t="str">
        <f>IFERROR(VLOOKUP(AA4,中介表!$A$1:$C$21,3,FALSE),"")</f>
        <v>八部天龙</v>
      </c>
      <c r="AB44" s="126" t="str">
        <f>IFERROR(VLOOKUP(AB4,中介表!$A$1:$C$21,3,FALSE),"")</f>
        <v>龙帝</v>
      </c>
      <c r="AC44" s="126" t="str">
        <f>IFERROR(VLOOKUP(AC4,中介表!$A$1:$C$21,3,FALSE),"")</f>
        <v>弥勒佛</v>
      </c>
      <c r="AD44" s="126" t="str">
        <f>IFERROR(VLOOKUP(AD4,中介表!$A$1:$C$21,3,FALSE),"")</f>
        <v/>
      </c>
      <c r="AE44" s="126" t="str">
        <f>IFERROR(VLOOKUP(AE4,中介表!$A$1:$C$21,3,FALSE),"")</f>
        <v>八部天龙</v>
      </c>
      <c r="AF44" s="126" t="str">
        <f>IFERROR(VLOOKUP(AF4,中介表!$A$1:$C$21,3,FALSE),"")</f>
        <v>观世音</v>
      </c>
      <c r="AG44" s="126" t="str">
        <f>IFERROR(VLOOKUP(AG4,中介表!$A$1:$C$21,3,FALSE),"")</f>
        <v/>
      </c>
      <c r="AH44" s="126" t="str">
        <f>IFERROR(VLOOKUP(AH4,中介表!$A$1:$C$21,3,FALSE),"")</f>
        <v>八部天龙</v>
      </c>
      <c r="AI44" s="126" t="str">
        <f>IFERROR(VLOOKUP(AI4,中介表!$A$1:$C$21,3,FALSE),"")</f>
        <v>红孩儿</v>
      </c>
      <c r="AJ44" s="126" t="str">
        <f>IFERROR(VLOOKUP(AJ4,中介表!$A$1:$C$21,3,FALSE),"")</f>
        <v/>
      </c>
      <c r="AK44" s="126" t="str">
        <f>IFERROR(VLOOKUP(AK4,中介表!$A$1:$C$21,3,FALSE),"")</f>
        <v>八部天龙</v>
      </c>
      <c r="AL44" s="126" t="str">
        <f>IFERROR(VLOOKUP(AL4,中介表!$A$1:$C$21,3,FALSE),"")</f>
        <v>人参娃</v>
      </c>
      <c r="AM44" s="126" t="str">
        <f>IFERROR(VLOOKUP(AM4,中介表!$A$1:$C$21,3,FALSE),"")</f>
        <v/>
      </c>
      <c r="AN44" s="126" t="str">
        <f>IFERROR(VLOOKUP(AN4,中介表!$A$1:$C$21,3,FALSE),"")</f>
        <v>八部天龙</v>
      </c>
      <c r="AO44" s="126" t="str">
        <f>IFERROR(VLOOKUP(AO4,中介表!$A$1:$C$21,3,FALSE),"")</f>
        <v>女儿国国王</v>
      </c>
      <c r="AP44" s="126" t="str">
        <f>IFERROR(VLOOKUP(AP4,中介表!$A$1:$C$21,3,FALSE),"")</f>
        <v/>
      </c>
      <c r="AQ44" s="126" t="str">
        <f>IFERROR(VLOOKUP(AQ4,中介表!$A$1:$C$21,3,FALSE),"")</f>
        <v/>
      </c>
      <c r="AR44" s="40" t="str">
        <f>IFERROR(VLOOKUP(AR4,中介表!$A$1:$C$21,3,FALSE),"")</f>
        <v/>
      </c>
      <c r="AS44" s="40" t="str">
        <f>IFERROR(VLOOKUP(AS4,中介表!$A$1:$C$21,3,FALSE),"")</f>
        <v/>
      </c>
      <c r="AT44" s="40"/>
      <c r="AU44" s="40"/>
      <c r="AV44" s="40"/>
    </row>
    <row r="45" spans="1:48">
      <c r="A45" s="11" t="s">
        <v>40</v>
      </c>
      <c r="B45" s="11"/>
      <c r="C45" s="11" t="s">
        <v>11</v>
      </c>
      <c r="D45" s="3">
        <v>16</v>
      </c>
      <c r="E45" s="3" t="s">
        <v>60</v>
      </c>
      <c r="F45" s="3" t="str">
        <f t="shared" si="3"/>
        <v>橙16</v>
      </c>
      <c r="G45" s="3" t="s">
        <v>65</v>
      </c>
      <c r="I45" s="109"/>
      <c r="K45" s="39" t="str">
        <f>IFERROR(VLOOKUP(I45,中介表!$A$1:$C$21,2,FALSE),"")</f>
        <v/>
      </c>
      <c r="L45" s="39"/>
      <c r="M45" s="39" t="str">
        <f>IFERROR(VLOOKUP(I45,中介表!$A$1:$C$21,3,FALSE),"")</f>
        <v/>
      </c>
      <c r="N45" s="39"/>
      <c r="O45" s="46" t="s">
        <v>53</v>
      </c>
      <c r="P45" s="46" t="s">
        <v>171</v>
      </c>
      <c r="Q45" s="44"/>
      <c r="R45" s="39"/>
      <c r="T45" s="11" t="s">
        <v>40</v>
      </c>
      <c r="U45" s="40"/>
      <c r="V45" s="126" t="str">
        <f>IFERROR(VLOOKUP(V5,中介表!$A$1:$C$21,3,FALSE),"")</f>
        <v>八部天龙</v>
      </c>
      <c r="W45" s="126" t="str">
        <f>IFERROR(VLOOKUP(W5,中介表!$A$1:$C$21,3,FALSE),"")</f>
        <v>龙帝</v>
      </c>
      <c r="X45" s="126" t="str">
        <f>IFERROR(VLOOKUP(X5,中介表!$A$1:$C$21,3,FALSE),"")</f>
        <v>金蝉子</v>
      </c>
      <c r="Y45" s="126" t="str">
        <f>IFERROR(VLOOKUP(Y5,中介表!$A$1:$C$21,3,FALSE),"")</f>
        <v>观世音</v>
      </c>
      <c r="Z45" s="126" t="str">
        <f>IFERROR(VLOOKUP(Z5,中介表!$A$1:$C$21,3,FALSE),"")</f>
        <v/>
      </c>
      <c r="AA45" s="126" t="str">
        <f>IFERROR(VLOOKUP(AA5,中介表!$A$1:$C$21,3,FALSE),"")</f>
        <v>八部天龙</v>
      </c>
      <c r="AB45" s="126" t="str">
        <f>IFERROR(VLOOKUP(AB5,中介表!$A$1:$C$21,3,FALSE),"")</f>
        <v>龙帝</v>
      </c>
      <c r="AC45" s="126" t="str">
        <f>IFERROR(VLOOKUP(AC5,中介表!$A$1:$C$21,3,FALSE),"")</f>
        <v>弥勒佛</v>
      </c>
      <c r="AD45" s="126" t="str">
        <f>IFERROR(VLOOKUP(AD5,中介表!$A$1:$C$21,3,FALSE),"")</f>
        <v/>
      </c>
      <c r="AE45" s="126" t="str">
        <f>IFERROR(VLOOKUP(AE5,中介表!$A$1:$C$21,3,FALSE),"")</f>
        <v>龙帝</v>
      </c>
      <c r="AF45" s="126" t="str">
        <f>IFERROR(VLOOKUP(AF5,中介表!$A$1:$C$21,3,FALSE),"")</f>
        <v>观世音</v>
      </c>
      <c r="AG45" s="126" t="str">
        <f>IFERROR(VLOOKUP(AG5,中介表!$A$1:$C$21,3,FALSE),"")</f>
        <v/>
      </c>
      <c r="AH45" s="126" t="str">
        <f>IFERROR(VLOOKUP(AH5,中介表!$A$1:$C$21,3,FALSE),"")</f>
        <v>龙帝</v>
      </c>
      <c r="AI45" s="126" t="str">
        <f>IFERROR(VLOOKUP(AI5,中介表!$A$1:$C$21,3,FALSE),"")</f>
        <v>引魂仙子</v>
      </c>
      <c r="AJ45" s="126" t="str">
        <f>IFERROR(VLOOKUP(AJ5,中介表!$A$1:$C$21,3,FALSE),"")</f>
        <v/>
      </c>
      <c r="AK45" s="126" t="str">
        <f>IFERROR(VLOOKUP(AK5,中介表!$A$1:$C$21,3,FALSE),"")</f>
        <v>龙帝</v>
      </c>
      <c r="AL45" s="126" t="str">
        <f>IFERROR(VLOOKUP(AL5,中介表!$A$1:$C$21,3,FALSE),"")</f>
        <v>女儿国国王</v>
      </c>
      <c r="AM45" s="126" t="str">
        <f>IFERROR(VLOOKUP(AM5,中介表!$A$1:$C$21,3,FALSE),"")</f>
        <v/>
      </c>
      <c r="AN45" s="126" t="str">
        <f>IFERROR(VLOOKUP(AN5,中介表!$A$1:$C$21,3,FALSE),"")</f>
        <v>龙帝</v>
      </c>
      <c r="AO45" s="126" t="str">
        <f>IFERROR(VLOOKUP(AO5,中介表!$A$1:$C$21,3,FALSE),"")</f>
        <v>红孩儿</v>
      </c>
      <c r="AP45" s="126" t="str">
        <f>IFERROR(VLOOKUP(AP5,中介表!$A$1:$C$21,3,FALSE),"")</f>
        <v/>
      </c>
      <c r="AQ45" s="126" t="str">
        <f>IFERROR(VLOOKUP(AQ5,中介表!$A$1:$C$21,3,FALSE),"")</f>
        <v/>
      </c>
      <c r="AR45" s="40" t="str">
        <f>IFERROR(VLOOKUP(AR5,中介表!$A$1:$C$21,3,FALSE),"")</f>
        <v/>
      </c>
      <c r="AS45" s="40" t="str">
        <f>IFERROR(VLOOKUP(AS5,中介表!$A$1:$C$21,3,FALSE),"")</f>
        <v/>
      </c>
      <c r="AT45" s="40"/>
      <c r="AU45" s="40"/>
      <c r="AV45" s="40"/>
    </row>
    <row r="46" spans="1:48">
      <c r="A46" s="112" t="s">
        <v>77</v>
      </c>
      <c r="B46" s="11"/>
      <c r="C46" s="11" t="s">
        <v>11</v>
      </c>
      <c r="D46" s="3">
        <v>16</v>
      </c>
      <c r="E46" s="3" t="s">
        <v>60</v>
      </c>
      <c r="F46" s="3" t="str">
        <f t="shared" si="3"/>
        <v>橙16</v>
      </c>
      <c r="G46" s="3" t="s">
        <v>64</v>
      </c>
      <c r="H46" s="142" t="s">
        <v>543</v>
      </c>
      <c r="I46" s="109" t="s">
        <v>22</v>
      </c>
      <c r="J46" s="140" t="s">
        <v>581</v>
      </c>
      <c r="K46" s="39" t="str">
        <f>IFERROR(VLOOKUP(I46,中介表!$A$1:$C$21,2,FALSE),"")</f>
        <v>托塔天王</v>
      </c>
      <c r="L46" s="139" t="s">
        <v>612</v>
      </c>
      <c r="M46" s="39" t="str">
        <f>IFERROR(VLOOKUP(I46,中介表!$A$1:$C$21,3,FALSE),"")</f>
        <v>金蝉子</v>
      </c>
      <c r="N46" s="39"/>
      <c r="O46" s="46" t="s">
        <v>54</v>
      </c>
      <c r="P46" s="47" t="s">
        <v>157</v>
      </c>
      <c r="Q46" s="44"/>
      <c r="R46" s="39"/>
      <c r="T46" s="112" t="s">
        <v>77</v>
      </c>
      <c r="U46" s="40"/>
      <c r="V46" s="126" t="str">
        <f>IFERROR(VLOOKUP(V6,中介表!$A$1:$C$21,3,FALSE),"")</f>
        <v>斗战胜佛</v>
      </c>
      <c r="W46" s="126" t="str">
        <f>IFERROR(VLOOKUP(W6,中介表!$A$1:$C$21,3,FALSE),"")</f>
        <v>紫霞仙子</v>
      </c>
      <c r="X46" s="126" t="str">
        <f>IFERROR(VLOOKUP(X6,中介表!$A$1:$C$21,3,FALSE),"")</f>
        <v>弥勒佛</v>
      </c>
      <c r="Y46" s="126" t="str">
        <f>IFERROR(VLOOKUP(Y6,中介表!$A$1:$C$21,3,FALSE),"")</f>
        <v>文殊菩萨</v>
      </c>
      <c r="Z46" s="126" t="str">
        <f>IFERROR(VLOOKUP(Z6,中介表!$A$1:$C$21,3,FALSE),"")</f>
        <v/>
      </c>
      <c r="AA46" s="126" t="str">
        <f>IFERROR(VLOOKUP(AA6,中介表!$A$1:$C$21,3,FALSE),"")</f>
        <v>八部天龙</v>
      </c>
      <c r="AB46" s="126" t="str">
        <f>IFERROR(VLOOKUP(AB6,中介表!$A$1:$C$21,3,FALSE),"")</f>
        <v>龙帝</v>
      </c>
      <c r="AC46" s="126" t="str">
        <f>IFERROR(VLOOKUP(AC6,中介表!$A$1:$C$21,3,FALSE),"")</f>
        <v>弥勒佛</v>
      </c>
      <c r="AD46" s="126" t="str">
        <f>IFERROR(VLOOKUP(AD6,中介表!$A$1:$C$21,3,FALSE),"")</f>
        <v/>
      </c>
      <c r="AE46" s="126" t="str">
        <f>IFERROR(VLOOKUP(AE6,中介表!$A$1:$C$21,3,FALSE),"")</f>
        <v>弥勒佛</v>
      </c>
      <c r="AF46" s="126" t="str">
        <f>IFERROR(VLOOKUP(AF6,中介表!$A$1:$C$21,3,FALSE),"")</f>
        <v>文殊菩萨</v>
      </c>
      <c r="AG46" s="126" t="str">
        <f>IFERROR(VLOOKUP(AG6,中介表!$A$1:$C$21,3,FALSE),"")</f>
        <v>观世音</v>
      </c>
      <c r="AH46" s="126" t="str">
        <f>IFERROR(VLOOKUP(AH6,中介表!$A$1:$C$21,3,FALSE),"")</f>
        <v/>
      </c>
      <c r="AI46" s="126" t="str">
        <f>IFERROR(VLOOKUP(AI6,中介表!$A$1:$C$21,3,FALSE),"")</f>
        <v>弥勒佛</v>
      </c>
      <c r="AJ46" s="126" t="str">
        <f>IFERROR(VLOOKUP(AJ6,中介表!$A$1:$C$21,3,FALSE),"")</f>
        <v>唐三藏</v>
      </c>
      <c r="AK46" s="126" t="str">
        <f>IFERROR(VLOOKUP(AK6,中介表!$A$1:$C$21,3,FALSE),"")</f>
        <v/>
      </c>
      <c r="AL46" s="126" t="str">
        <f>IFERROR(VLOOKUP(AL6,中介表!$A$1:$C$21,3,FALSE),"")</f>
        <v>弥勒佛</v>
      </c>
      <c r="AM46" s="126" t="str">
        <f>IFERROR(VLOOKUP(AM6,中介表!$A$1:$C$21,3,FALSE),"")</f>
        <v>迦叶</v>
      </c>
      <c r="AN46" s="126" t="str">
        <f>IFERROR(VLOOKUP(AN6,中介表!$A$1:$C$21,3,FALSE),"")</f>
        <v/>
      </c>
      <c r="AO46" s="126" t="str">
        <f>IFERROR(VLOOKUP(AO6,中介表!$A$1:$C$21,3,FALSE),"")</f>
        <v>金蝉子</v>
      </c>
      <c r="AP46" s="126" t="str">
        <f>IFERROR(VLOOKUP(AP6,中介表!$A$1:$C$21,3,FALSE),"")</f>
        <v>弥勒佛</v>
      </c>
      <c r="AQ46" s="126" t="str">
        <f>IFERROR(VLOOKUP(AQ6,中介表!$A$1:$C$21,3,FALSE),"")</f>
        <v/>
      </c>
      <c r="AR46" s="40" t="str">
        <f>IFERROR(VLOOKUP(AR6,中介表!$A$1:$C$21,3,FALSE),"")</f>
        <v/>
      </c>
      <c r="AS46" s="40" t="str">
        <f>IFERROR(VLOOKUP(AS6,中介表!$A$1:$C$21,3,FALSE),"")</f>
        <v/>
      </c>
      <c r="AT46" s="40"/>
      <c r="AU46" s="40"/>
      <c r="AV46" s="40"/>
    </row>
    <row r="47" spans="1:48">
      <c r="A47" s="112" t="s">
        <v>42</v>
      </c>
      <c r="B47" s="11"/>
      <c r="C47" s="11" t="s">
        <v>11</v>
      </c>
      <c r="D47" s="3">
        <v>16</v>
      </c>
      <c r="E47" s="3" t="s">
        <v>60</v>
      </c>
      <c r="F47" s="3" t="str">
        <f t="shared" si="3"/>
        <v>橙16</v>
      </c>
      <c r="G47" s="3" t="s">
        <v>63</v>
      </c>
      <c r="H47" s="142"/>
      <c r="I47" s="109" t="s">
        <v>142</v>
      </c>
      <c r="J47" s="140"/>
      <c r="K47" s="39" t="str">
        <f>IFERROR(VLOOKUP(I47,中介表!$A$1:$C$21,2,FALSE),"")</f>
        <v>东海龙王</v>
      </c>
      <c r="L47" s="139"/>
      <c r="M47" s="39" t="str">
        <f>IFERROR(VLOOKUP(I47,中介表!$A$1:$C$21,3,FALSE),"")</f>
        <v>迦叶</v>
      </c>
      <c r="N47" s="39"/>
      <c r="O47" s="39"/>
      <c r="P47" s="39"/>
      <c r="Q47" s="39"/>
      <c r="R47" s="39"/>
      <c r="T47" s="112" t="s">
        <v>42</v>
      </c>
      <c r="U47" s="40"/>
      <c r="V47" s="126" t="str">
        <f>IFERROR(VLOOKUP(V7,中介表!$A$1:$C$21,3,FALSE),"")</f>
        <v>八部天龙</v>
      </c>
      <c r="W47" s="126" t="str">
        <f>IFERROR(VLOOKUP(W7,中介表!$A$1:$C$21,3,FALSE),"")</f>
        <v>龙帝</v>
      </c>
      <c r="X47" s="126" t="str">
        <f>IFERROR(VLOOKUP(X7,中介表!$A$1:$C$21,3,FALSE),"")</f>
        <v>金蝉子</v>
      </c>
      <c r="Y47" s="126" t="str">
        <f>IFERROR(VLOOKUP(Y7,中介表!$A$1:$C$21,3,FALSE),"")</f>
        <v>观世音</v>
      </c>
      <c r="Z47" s="126" t="str">
        <f>IFERROR(VLOOKUP(Z7,中介表!$A$1:$C$21,3,FALSE),"")</f>
        <v/>
      </c>
      <c r="AA47" s="126" t="str">
        <f>IFERROR(VLOOKUP(AA7,中介表!$A$1:$C$21,3,FALSE),"")</f>
        <v>斗战胜佛</v>
      </c>
      <c r="AB47" s="126" t="str">
        <f>IFERROR(VLOOKUP(AB7,中介表!$A$1:$C$21,3,FALSE),"")</f>
        <v>紫霞仙子</v>
      </c>
      <c r="AC47" s="126" t="str">
        <f>IFERROR(VLOOKUP(AC7,中介表!$A$1:$C$21,3,FALSE),"")</f>
        <v>金蝉子</v>
      </c>
      <c r="AD47" s="126" t="str">
        <f>IFERROR(VLOOKUP(AD7,中介表!$A$1:$C$21,3,FALSE),"")</f>
        <v/>
      </c>
      <c r="AE47" s="126" t="str">
        <f>IFERROR(VLOOKUP(AE7,中介表!$A$1:$C$21,3,FALSE),"")</f>
        <v>金蝉子</v>
      </c>
      <c r="AF47" s="126" t="str">
        <f>IFERROR(VLOOKUP(AF7,中介表!$A$1:$C$21,3,FALSE),"")</f>
        <v>文殊菩萨</v>
      </c>
      <c r="AG47" s="126" t="str">
        <f>IFERROR(VLOOKUP(AG7,中介表!$A$1:$C$21,3,FALSE),"")</f>
        <v>观世音</v>
      </c>
      <c r="AH47" s="126" t="str">
        <f>IFERROR(VLOOKUP(AH7,中介表!$A$1:$C$21,3,FALSE),"")</f>
        <v/>
      </c>
      <c r="AI47" s="126" t="str">
        <f>IFERROR(VLOOKUP(AI7,中介表!$A$1:$C$21,3,FALSE),"")</f>
        <v>金蝉子</v>
      </c>
      <c r="AJ47" s="126" t="str">
        <f>IFERROR(VLOOKUP(AJ7,中介表!$A$1:$C$21,3,FALSE),"")</f>
        <v>唐三藏</v>
      </c>
      <c r="AK47" s="126" t="str">
        <f>IFERROR(VLOOKUP(AK7,中介表!$A$1:$C$21,3,FALSE),"")</f>
        <v/>
      </c>
      <c r="AL47" s="126" t="str">
        <f>IFERROR(VLOOKUP(AL7,中介表!$A$1:$C$21,3,FALSE),"")</f>
        <v>金蝉子</v>
      </c>
      <c r="AM47" s="126" t="str">
        <f>IFERROR(VLOOKUP(AM7,中介表!$A$1:$C$21,3,FALSE),"")</f>
        <v>迦叶</v>
      </c>
      <c r="AN47" s="126" t="str">
        <f>IFERROR(VLOOKUP(AN7,中介表!$A$1:$C$21,3,FALSE),"")</f>
        <v/>
      </c>
      <c r="AO47" s="126" t="str">
        <f>IFERROR(VLOOKUP(AO7,中介表!$A$1:$C$21,3,FALSE),"")</f>
        <v>金蝉子</v>
      </c>
      <c r="AP47" s="126" t="str">
        <f>IFERROR(VLOOKUP(AP7,中介表!$A$1:$C$21,3,FALSE),"")</f>
        <v>弥勒佛</v>
      </c>
      <c r="AQ47" s="126" t="str">
        <f>IFERROR(VLOOKUP(AQ7,中介表!$A$1:$C$21,3,FALSE),"")</f>
        <v/>
      </c>
      <c r="AR47" s="40" t="str">
        <f>IFERROR(VLOOKUP(AR7,中介表!$A$1:$C$21,3,FALSE),"")</f>
        <v/>
      </c>
      <c r="AS47" s="40" t="str">
        <f>IFERROR(VLOOKUP(AS7,中介表!$A$1:$C$21,3,FALSE),"")</f>
        <v/>
      </c>
      <c r="AT47" s="40"/>
      <c r="AU47" s="40"/>
      <c r="AV47" s="40"/>
    </row>
    <row r="48" spans="1:48">
      <c r="A48" s="11" t="s">
        <v>86</v>
      </c>
      <c r="B48" s="11"/>
      <c r="C48" s="11" t="s">
        <v>11</v>
      </c>
      <c r="D48" s="3">
        <v>16</v>
      </c>
      <c r="E48" s="3" t="s">
        <v>60</v>
      </c>
      <c r="F48" s="3" t="str">
        <f t="shared" si="2"/>
        <v>橙16</v>
      </c>
      <c r="G48" s="3" t="s">
        <v>67</v>
      </c>
      <c r="I48" s="109"/>
      <c r="K48" s="39" t="str">
        <f>IFERROR(VLOOKUP(I48,中介表!$A$1:$C$21,2,FALSE),"")</f>
        <v/>
      </c>
      <c r="L48" s="39"/>
      <c r="M48" s="39" t="str">
        <f>IFERROR(VLOOKUP(I48,中介表!$A$1:$C$21,3,FALSE),"")</f>
        <v/>
      </c>
      <c r="N48" s="39"/>
      <c r="O48" s="39"/>
      <c r="P48" s="39"/>
      <c r="Q48" s="39"/>
      <c r="R48" s="39"/>
      <c r="T48" s="11" t="s">
        <v>86</v>
      </c>
      <c r="U48" s="40"/>
      <c r="V48" s="126" t="str">
        <f>IFERROR(VLOOKUP(V9,中介表!$A$1:$C$21,3,FALSE),"")</f>
        <v>斗战胜佛</v>
      </c>
      <c r="W48" s="126" t="str">
        <f>IFERROR(VLOOKUP(W9,中介表!$A$1:$C$21,3,FALSE),"")</f>
        <v>紫霞仙子</v>
      </c>
      <c r="X48" s="126" t="str">
        <f>IFERROR(VLOOKUP(X9,中介表!$A$1:$C$21,3,FALSE),"")</f>
        <v>弥勒佛</v>
      </c>
      <c r="Y48" s="126" t="str">
        <f>IFERROR(VLOOKUP(Y9,中介表!$A$1:$C$21,3,FALSE),"")</f>
        <v>文殊菩萨</v>
      </c>
      <c r="Z48" s="126" t="str">
        <f>IFERROR(VLOOKUP(Z9,中介表!$A$1:$C$21,3,FALSE),"")</f>
        <v/>
      </c>
      <c r="AA48" s="126" t="str">
        <f>IFERROR(VLOOKUP(AA9,中介表!$A$1:$C$21,3,FALSE),"")</f>
        <v>金蝉子</v>
      </c>
      <c r="AB48" s="126" t="str">
        <f>IFERROR(VLOOKUP(AB9,中介表!$A$1:$C$21,3,FALSE),"")</f>
        <v>文殊菩萨</v>
      </c>
      <c r="AC48" s="126" t="str">
        <f>IFERROR(VLOOKUP(AC9,中介表!$A$1:$C$21,3,FALSE),"")</f>
        <v>观世音</v>
      </c>
      <c r="AD48" s="126" t="str">
        <f>IFERROR(VLOOKUP(AD9,中介表!$A$1:$C$21,3,FALSE),"")</f>
        <v/>
      </c>
      <c r="AE48" s="126" t="str">
        <f>IFERROR(VLOOKUP(AE9,中介表!$A$1:$C$21,3,FALSE),"")</f>
        <v>弥勒佛</v>
      </c>
      <c r="AF48" s="126" t="str">
        <f>IFERROR(VLOOKUP(AF9,中介表!$A$1:$C$21,3,FALSE),"")</f>
        <v>文殊菩萨</v>
      </c>
      <c r="AG48" s="126" t="str">
        <f>IFERROR(VLOOKUP(AG9,中介表!$A$1:$C$21,3,FALSE),"")</f>
        <v>观世音</v>
      </c>
      <c r="AH48" s="126" t="str">
        <f>IFERROR(VLOOKUP(AH9,中介表!$A$1:$C$21,3,FALSE),"")</f>
        <v/>
      </c>
      <c r="AI48" s="126" t="str">
        <f>IFERROR(VLOOKUP(AI9,中介表!$A$1:$C$21,3,FALSE),"")</f>
        <v>斗战胜佛</v>
      </c>
      <c r="AJ48" s="126" t="str">
        <f>IFERROR(VLOOKUP(AJ9,中介表!$A$1:$C$21,3,FALSE),"")</f>
        <v>文殊菩萨</v>
      </c>
      <c r="AK48" s="126" t="str">
        <f>IFERROR(VLOOKUP(AK9,中介表!$A$1:$C$21,3,FALSE),"")</f>
        <v/>
      </c>
      <c r="AL48" s="126" t="str">
        <f>IFERROR(VLOOKUP(AL9,中介表!$A$1:$C$21,3,FALSE),"")</f>
        <v>紫霞仙子</v>
      </c>
      <c r="AM48" s="126" t="str">
        <f>IFERROR(VLOOKUP(AM9,中介表!$A$1:$C$21,3,FALSE),"")</f>
        <v>文殊菩萨</v>
      </c>
      <c r="AN48" s="126" t="str">
        <f>IFERROR(VLOOKUP(AN9,中介表!$A$1:$C$21,3,FALSE),"")</f>
        <v/>
      </c>
      <c r="AO48" s="126" t="str">
        <f>IFERROR(VLOOKUP(AO9,中介表!$A$1:$C$21,3,FALSE),"")</f>
        <v>观世音</v>
      </c>
      <c r="AP48" s="126" t="str">
        <f>IFERROR(VLOOKUP(AP9,中介表!$A$1:$C$21,3,FALSE),"")</f>
        <v>文殊菩萨</v>
      </c>
      <c r="AQ48" s="126" t="str">
        <f>IFERROR(VLOOKUP(AQ8,中介表!$A$1:$C$21,3,FALSE),"")</f>
        <v/>
      </c>
      <c r="AR48" s="40" t="str">
        <f>IFERROR(VLOOKUP(AR8,中介表!$A$1:$C$21,3,FALSE),"")</f>
        <v/>
      </c>
      <c r="AS48" s="40" t="str">
        <f>IFERROR(VLOOKUP(AS8,中介表!$A$1:$C$21,3,FALSE),"")</f>
        <v/>
      </c>
      <c r="AT48" s="40"/>
      <c r="AU48" s="40"/>
      <c r="AV48" s="40"/>
    </row>
    <row r="49" spans="1:48">
      <c r="A49" s="26" t="s">
        <v>78</v>
      </c>
      <c r="B49" s="26"/>
      <c r="C49" s="26" t="s">
        <v>11</v>
      </c>
      <c r="D49" s="3">
        <v>13</v>
      </c>
      <c r="E49" s="3" t="s">
        <v>60</v>
      </c>
      <c r="F49" s="3" t="str">
        <f t="shared" si="2"/>
        <v>橙13</v>
      </c>
      <c r="G49" s="3" t="s">
        <v>88</v>
      </c>
      <c r="H49" s="142" t="s">
        <v>545</v>
      </c>
      <c r="I49" s="109" t="s">
        <v>138</v>
      </c>
      <c r="J49" s="140" t="s">
        <v>565</v>
      </c>
      <c r="K49" s="39" t="str">
        <f>IFERROR(VLOOKUP(I49,中介表!$A$1:$C$21,2,FALSE),"")</f>
        <v>黑无常</v>
      </c>
      <c r="L49" s="139" t="s">
        <v>619</v>
      </c>
      <c r="M49" s="39" t="str">
        <f>IFERROR(VLOOKUP(I49,中介表!$A$1:$C$21,3,FALSE),"")</f>
        <v>弥勒佛</v>
      </c>
      <c r="N49" s="39"/>
      <c r="O49" s="39"/>
      <c r="P49" s="39"/>
      <c r="Q49" s="39"/>
      <c r="R49" s="39"/>
      <c r="T49" s="26" t="s">
        <v>78</v>
      </c>
      <c r="U49" s="40"/>
      <c r="V49" s="126" t="str">
        <f>IFERROR(VLOOKUP(V8,中介表!$A$1:$C$21,3,FALSE),"")</f>
        <v>八部天龙</v>
      </c>
      <c r="W49" s="126" t="str">
        <f>IFERROR(VLOOKUP(W8,中介表!$A$1:$C$21,3,FALSE),"")</f>
        <v>龙帝</v>
      </c>
      <c r="X49" s="126" t="str">
        <f>IFERROR(VLOOKUP(X8,中介表!$A$1:$C$21,3,FALSE),"")</f>
        <v>金蝉子</v>
      </c>
      <c r="Y49" s="126" t="str">
        <f>IFERROR(VLOOKUP(Y8,中介表!$A$1:$C$21,3,FALSE),"")</f>
        <v>观世音</v>
      </c>
      <c r="Z49" s="126" t="str">
        <f>IFERROR(VLOOKUP(Z8,中介表!$A$1:$C$21,3,FALSE),"")</f>
        <v/>
      </c>
      <c r="AA49" s="126" t="str">
        <f>IFERROR(VLOOKUP(AA8,中介表!$A$1:$C$21,3,FALSE),"")</f>
        <v>金蝉子</v>
      </c>
      <c r="AB49" s="126" t="str">
        <f>IFERROR(VLOOKUP(AB8,中介表!$A$1:$C$21,3,FALSE),"")</f>
        <v>文殊菩萨</v>
      </c>
      <c r="AC49" s="126" t="str">
        <f>IFERROR(VLOOKUP(AC8,中介表!$A$1:$C$21,3,FALSE),"")</f>
        <v>观世音</v>
      </c>
      <c r="AD49" s="126" t="str">
        <f>IFERROR(VLOOKUP(AD8,中介表!$A$1:$C$21,3,FALSE),"")</f>
        <v/>
      </c>
      <c r="AE49" s="126" t="str">
        <f>IFERROR(VLOOKUP(AE8,中介表!$A$1:$C$21,3,FALSE),"")</f>
        <v>弥勒佛</v>
      </c>
      <c r="AF49" s="126" t="str">
        <f>IFERROR(VLOOKUP(AF8,中介表!$A$1:$C$21,3,FALSE),"")</f>
        <v>文殊菩萨</v>
      </c>
      <c r="AG49" s="126" t="str">
        <f>IFERROR(VLOOKUP(AG8,中介表!$A$1:$C$21,3,FALSE),"")</f>
        <v>观世音</v>
      </c>
      <c r="AH49" s="126" t="str">
        <f>IFERROR(VLOOKUP(AH8,中介表!$A$1:$C$21,3,FALSE),"")</f>
        <v/>
      </c>
      <c r="AI49" s="126" t="str">
        <f>IFERROR(VLOOKUP(AI8,中介表!$A$1:$C$21,3,FALSE),"")</f>
        <v>八部天龙</v>
      </c>
      <c r="AJ49" s="126" t="str">
        <f>IFERROR(VLOOKUP(AJ8,中介表!$A$1:$C$21,3,FALSE),"")</f>
        <v>观世音</v>
      </c>
      <c r="AK49" s="126" t="str">
        <f>IFERROR(VLOOKUP(AK8,中介表!$A$1:$C$21,3,FALSE),"")</f>
        <v/>
      </c>
      <c r="AL49" s="126" t="str">
        <f>IFERROR(VLOOKUP(AL8,中介表!$A$1:$C$21,3,FALSE),"")</f>
        <v>龙帝</v>
      </c>
      <c r="AM49" s="126" t="str">
        <f>IFERROR(VLOOKUP(AM8,中介表!$A$1:$C$21,3,FALSE),"")</f>
        <v>观世音</v>
      </c>
      <c r="AN49" s="126" t="str">
        <f>IFERROR(VLOOKUP(AN8,中介表!$A$1:$C$21,3,FALSE),"")</f>
        <v/>
      </c>
      <c r="AO49" s="126" t="str">
        <f>IFERROR(VLOOKUP(AO8,中介表!$A$1:$C$21,3,FALSE),"")</f>
        <v>观世音</v>
      </c>
      <c r="AP49" s="126" t="str">
        <f>IFERROR(VLOOKUP(AP8,中介表!$A$1:$C$21,3,FALSE),"")</f>
        <v>文殊菩萨</v>
      </c>
      <c r="AQ49" s="126" t="str">
        <f>IFERROR(VLOOKUP(AQ9,中介表!$A$1:$C$21,3,FALSE),"")</f>
        <v/>
      </c>
      <c r="AR49" s="40" t="str">
        <f>IFERROR(VLOOKUP(AR9,中介表!$A$1:$C$21,3,FALSE),"")</f>
        <v/>
      </c>
      <c r="AS49" s="40" t="str">
        <f>IFERROR(VLOOKUP(AS9,中介表!$A$1:$C$21,3,FALSE),"")</f>
        <v/>
      </c>
      <c r="AT49" s="40"/>
      <c r="AU49" s="40"/>
      <c r="AV49" s="40"/>
    </row>
    <row r="50" spans="1:48">
      <c r="A50" s="116" t="s">
        <v>8</v>
      </c>
      <c r="B50" s="26"/>
      <c r="C50" s="26" t="s">
        <v>11</v>
      </c>
      <c r="D50" s="3">
        <v>13</v>
      </c>
      <c r="E50" s="3" t="s">
        <v>60</v>
      </c>
      <c r="F50" s="3" t="str">
        <f>C50&amp;D50</f>
        <v>橙13</v>
      </c>
      <c r="G50" s="3" t="s">
        <v>67</v>
      </c>
      <c r="H50" s="142"/>
      <c r="I50" s="109" t="s">
        <v>142</v>
      </c>
      <c r="J50" s="140"/>
      <c r="K50" s="39" t="str">
        <f>IFERROR(VLOOKUP(I50,中介表!$A$1:$C$21,2,FALSE),"")</f>
        <v>东海龙王</v>
      </c>
      <c r="L50" s="139"/>
      <c r="M50" s="39" t="str">
        <f>IFERROR(VLOOKUP(I50,中介表!$A$1:$C$21,3,FALSE),"")</f>
        <v>迦叶</v>
      </c>
      <c r="N50" s="39"/>
      <c r="O50" s="39"/>
      <c r="P50" s="39"/>
      <c r="Q50" s="39"/>
      <c r="R50" s="39"/>
      <c r="T50" s="116" t="s">
        <v>8</v>
      </c>
      <c r="U50" s="40"/>
      <c r="V50" s="126" t="str">
        <f>IFERROR(VLOOKUP(V10,中介表!$A$1:$C$21,3,FALSE),"")</f>
        <v>唐三藏</v>
      </c>
      <c r="W50" s="126" t="str">
        <f>IFERROR(VLOOKUP(W10,中介表!$A$1:$C$21,3,FALSE),"")</f>
        <v>迦叶</v>
      </c>
      <c r="X50" s="126" t="str">
        <f>IFERROR(VLOOKUP(X10,中介表!$A$1:$C$21,3,FALSE),"")</f>
        <v>女儿国国王</v>
      </c>
      <c r="Y50" s="126" t="str">
        <f>IFERROR(VLOOKUP(Y10,中介表!$A$1:$C$21,3,FALSE),"")</f>
        <v/>
      </c>
      <c r="Z50" s="126" t="str">
        <f>IFERROR(VLOOKUP(Z10,中介表!$A$1:$C$21,3,FALSE),"")</f>
        <v>唐三藏</v>
      </c>
      <c r="AA50" s="126" t="str">
        <f>IFERROR(VLOOKUP(AA10,中介表!$A$1:$C$21,3,FALSE),"")</f>
        <v>引魂仙子</v>
      </c>
      <c r="AB50" s="126" t="str">
        <f>IFERROR(VLOOKUP(AB10,中介表!$A$1:$C$21,3,FALSE),"")</f>
        <v>人参娃</v>
      </c>
      <c r="AC50" s="126" t="str">
        <f>IFERROR(VLOOKUP(AC10,中介表!$A$1:$C$21,3,FALSE),"")</f>
        <v/>
      </c>
      <c r="AD50" s="126" t="str">
        <f>IFERROR(VLOOKUP(AD10,中介表!$A$1:$C$21,3,FALSE),"")</f>
        <v>金蝉子</v>
      </c>
      <c r="AE50" s="126" t="str">
        <f>IFERROR(VLOOKUP(AE10,中介表!$A$1:$C$21,3,FALSE),"")</f>
        <v>唐三藏</v>
      </c>
      <c r="AF50" s="126" t="str">
        <f>IFERROR(VLOOKUP(AF10,中介表!$A$1:$C$21,3,FALSE),"")</f>
        <v/>
      </c>
      <c r="AG50" s="126" t="str">
        <f>IFERROR(VLOOKUP(AG10,中介表!$A$1:$C$21,3,FALSE),"")</f>
        <v>弥勒佛</v>
      </c>
      <c r="AH50" s="126" t="str">
        <f>IFERROR(VLOOKUP(AH10,中介表!$A$1:$C$21,3,FALSE),"")</f>
        <v>唐三藏</v>
      </c>
      <c r="AI50" s="126" t="str">
        <f>IFERROR(VLOOKUP(AI10,中介表!$A$1:$C$21,3,FALSE),"")</f>
        <v/>
      </c>
      <c r="AJ50" s="126" t="str">
        <f>IFERROR(VLOOKUP(AJ10,中介表!$A$1:$C$21,3,FALSE),"")</f>
        <v>斗战胜佛</v>
      </c>
      <c r="AK50" s="126" t="str">
        <f>IFERROR(VLOOKUP(AK10,中介表!$A$1:$C$21,3,FALSE),"")</f>
        <v>唐三藏</v>
      </c>
      <c r="AL50" s="126" t="str">
        <f>IFERROR(VLOOKUP(AL10,中介表!$A$1:$C$21,3,FALSE),"")</f>
        <v/>
      </c>
      <c r="AM50" s="126" t="str">
        <f>IFERROR(VLOOKUP(AM10,中介表!$A$1:$C$21,3,FALSE),"")</f>
        <v/>
      </c>
      <c r="AN50" s="126" t="str">
        <f>IFERROR(VLOOKUP(AN10,中介表!$A$1:$C$21,3,FALSE),"")</f>
        <v/>
      </c>
      <c r="AO50" s="126" t="str">
        <f>IFERROR(VLOOKUP(AO10,中介表!$A$1:$C$21,3,FALSE),"")</f>
        <v/>
      </c>
      <c r="AP50" s="126" t="str">
        <f>IFERROR(VLOOKUP(AP10,中介表!$A$1:$C$21,3,FALSE),"")</f>
        <v/>
      </c>
      <c r="AQ50" s="126" t="str">
        <f>IFERROR(VLOOKUP(AQ10,中介表!$A$1:$C$21,3,FALSE),"")</f>
        <v/>
      </c>
      <c r="AR50" s="40" t="str">
        <f>IFERROR(VLOOKUP(AR10,中介表!$A$1:$C$21,3,FALSE),"")</f>
        <v/>
      </c>
      <c r="AS50" s="40" t="str">
        <f>IFERROR(VLOOKUP(AS10,中介表!$A$1:$C$21,3,FALSE),"")</f>
        <v/>
      </c>
      <c r="AT50" s="40"/>
      <c r="AU50" s="40"/>
      <c r="AV50" s="40"/>
    </row>
    <row r="51" spans="1:48">
      <c r="A51" s="26" t="s">
        <v>25</v>
      </c>
      <c r="B51" s="26"/>
      <c r="C51" s="26" t="s">
        <v>11</v>
      </c>
      <c r="D51" s="3">
        <v>13</v>
      </c>
      <c r="E51" s="3" t="s">
        <v>60</v>
      </c>
      <c r="F51" s="3" t="str">
        <f>C51&amp;D51</f>
        <v>橙13</v>
      </c>
      <c r="G51" s="3" t="s">
        <v>63</v>
      </c>
      <c r="I51" s="109"/>
      <c r="K51" s="39" t="str">
        <f>IFERROR(VLOOKUP(I51,中介表!$A$1:$C$21,2,FALSE),"")</f>
        <v/>
      </c>
      <c r="L51" s="39"/>
      <c r="M51" s="39" t="str">
        <f>IFERROR(VLOOKUP(I51,中介表!$A$1:$C$21,3,FALSE),"")</f>
        <v/>
      </c>
      <c r="N51" s="39"/>
      <c r="O51" s="39"/>
      <c r="P51" s="39"/>
      <c r="Q51" s="39"/>
      <c r="R51" s="39"/>
      <c r="T51" s="26" t="s">
        <v>25</v>
      </c>
      <c r="U51" s="40"/>
      <c r="V51" s="126" t="str">
        <f>IFERROR(VLOOKUP(V11,中介表!$A$1:$C$21,3,FALSE),"")</f>
        <v>红孩儿</v>
      </c>
      <c r="W51" s="126" t="str">
        <f>IFERROR(VLOOKUP(W11,中介表!$A$1:$C$21,3,FALSE),"")</f>
        <v>引魂仙子</v>
      </c>
      <c r="X51" s="126" t="str">
        <f>IFERROR(VLOOKUP(X11,中介表!$A$1:$C$21,3,FALSE),"")</f>
        <v>女儿国国王</v>
      </c>
      <c r="Y51" s="126" t="str">
        <f>IFERROR(VLOOKUP(Y11,中介表!$A$1:$C$21,3,FALSE),"")</f>
        <v/>
      </c>
      <c r="Z51" s="126" t="str">
        <f>IFERROR(VLOOKUP(Z11,中介表!$A$1:$C$21,3,FALSE),"")</f>
        <v>迦叶</v>
      </c>
      <c r="AA51" s="126" t="str">
        <f>IFERROR(VLOOKUP(AA11,中介表!$A$1:$C$21,3,FALSE),"")</f>
        <v>人参娃</v>
      </c>
      <c r="AB51" s="126" t="str">
        <f>IFERROR(VLOOKUP(AB11,中介表!$A$1:$C$21,3,FALSE),"")</f>
        <v>红孩儿</v>
      </c>
      <c r="AC51" s="126" t="str">
        <f>IFERROR(VLOOKUP(AC11,中介表!$A$1:$C$21,3,FALSE),"")</f>
        <v/>
      </c>
      <c r="AD51" s="126" t="str">
        <f>IFERROR(VLOOKUP(AD11,中介表!$A$1:$C$21,3,FALSE),"")</f>
        <v>斗战胜佛</v>
      </c>
      <c r="AE51" s="126" t="str">
        <f>IFERROR(VLOOKUP(AE11,中介表!$A$1:$C$21,3,FALSE),"")</f>
        <v>红孩儿</v>
      </c>
      <c r="AF51" s="126" t="str">
        <f>IFERROR(VLOOKUP(AF11,中介表!$A$1:$C$21,3,FALSE),"")</f>
        <v/>
      </c>
      <c r="AG51" s="126" t="str">
        <f>IFERROR(VLOOKUP(AG11,中介表!$A$1:$C$21,3,FALSE),"")</f>
        <v>八部天龙</v>
      </c>
      <c r="AH51" s="126" t="str">
        <f>IFERROR(VLOOKUP(AH11,中介表!$A$1:$C$21,3,FALSE),"")</f>
        <v>红孩儿</v>
      </c>
      <c r="AI51" s="126" t="str">
        <f>IFERROR(VLOOKUP(AI11,中介表!$A$1:$C$21,3,FALSE),"")</f>
        <v/>
      </c>
      <c r="AJ51" s="126" t="str">
        <f>IFERROR(VLOOKUP(AJ11,中介表!$A$1:$C$21,3,FALSE),"")</f>
        <v>龙帝</v>
      </c>
      <c r="AK51" s="126" t="str">
        <f>IFERROR(VLOOKUP(AK11,中介表!$A$1:$C$21,3,FALSE),"")</f>
        <v>红孩儿</v>
      </c>
      <c r="AL51" s="126" t="str">
        <f>IFERROR(VLOOKUP(AL11,中介表!$A$1:$C$21,3,FALSE),"")</f>
        <v/>
      </c>
      <c r="AM51" s="126" t="str">
        <f>IFERROR(VLOOKUP(AM11,中介表!$A$1:$C$21,3,FALSE),"")</f>
        <v/>
      </c>
      <c r="AN51" s="126" t="str">
        <f>IFERROR(VLOOKUP(AN11,中介表!$A$1:$C$21,3,FALSE),"")</f>
        <v/>
      </c>
      <c r="AO51" s="126" t="str">
        <f>IFERROR(VLOOKUP(AO11,中介表!$A$1:$C$21,3,FALSE),"")</f>
        <v/>
      </c>
      <c r="AP51" s="126" t="str">
        <f>IFERROR(VLOOKUP(AP11,中介表!$A$1:$C$21,3,FALSE),"")</f>
        <v/>
      </c>
      <c r="AQ51" s="126" t="str">
        <f>IFERROR(VLOOKUP(AQ11,中介表!$A$1:$C$21,3,FALSE),"")</f>
        <v/>
      </c>
      <c r="AR51" s="40" t="str">
        <f>IFERROR(VLOOKUP(AR11,中介表!$A$1:$C$21,3,FALSE),"")</f>
        <v/>
      </c>
      <c r="AS51" s="40" t="str">
        <f>IFERROR(VLOOKUP(AS11,中介表!$A$1:$C$21,3,FALSE),"")</f>
        <v/>
      </c>
      <c r="AT51" s="40"/>
      <c r="AU51" s="40"/>
      <c r="AV51" s="40"/>
    </row>
    <row r="52" spans="1:48">
      <c r="A52" s="116" t="s">
        <v>762</v>
      </c>
      <c r="B52" s="26"/>
      <c r="C52" s="26" t="s">
        <v>11</v>
      </c>
      <c r="D52" s="3">
        <v>13</v>
      </c>
      <c r="E52" s="3" t="s">
        <v>60</v>
      </c>
      <c r="F52" s="3" t="str">
        <f>C52&amp;D52</f>
        <v>橙13</v>
      </c>
      <c r="G52" s="3" t="s">
        <v>65</v>
      </c>
      <c r="H52" s="142" t="s">
        <v>546</v>
      </c>
      <c r="I52" s="109" t="s">
        <v>22</v>
      </c>
      <c r="J52" s="140" t="s">
        <v>572</v>
      </c>
      <c r="K52" s="39" t="str">
        <f>IFERROR(VLOOKUP(I52,中介表!$A$1:$C$21,2,FALSE),"")</f>
        <v>托塔天王</v>
      </c>
      <c r="L52" s="139" t="s">
        <v>603</v>
      </c>
      <c r="M52" s="39" t="str">
        <f>IFERROR(VLOOKUP(I52,中介表!$A$1:$C$21,3,FALSE),"")</f>
        <v>金蝉子</v>
      </c>
      <c r="N52" s="39"/>
      <c r="O52" s="39"/>
      <c r="P52" s="39"/>
      <c r="Q52" s="39"/>
      <c r="R52" s="39"/>
      <c r="T52" s="116" t="s">
        <v>762</v>
      </c>
      <c r="U52" s="40"/>
      <c r="V52" s="126" t="str">
        <f>IFERROR(VLOOKUP(V12,中介表!$A$1:$C$21,3,FALSE),"")</f>
        <v>唐三藏</v>
      </c>
      <c r="W52" s="126" t="str">
        <f>IFERROR(VLOOKUP(W12,中介表!$A$1:$C$21,3,FALSE),"")</f>
        <v>迦叶</v>
      </c>
      <c r="X52" s="126" t="str">
        <f>IFERROR(VLOOKUP(X12,中介表!$A$1:$C$21,3,FALSE),"")</f>
        <v>女儿国国王</v>
      </c>
      <c r="Y52" s="126" t="str">
        <f>IFERROR(VLOOKUP(Y12,中介表!$A$1:$C$21,3,FALSE),"")</f>
        <v/>
      </c>
      <c r="Z52" s="126" t="str">
        <f>IFERROR(VLOOKUP(Z12,中介表!$A$1:$C$21,3,FALSE),"")</f>
        <v>迦叶</v>
      </c>
      <c r="AA52" s="126" t="str">
        <f>IFERROR(VLOOKUP(AA12,中介表!$A$1:$C$21,3,FALSE),"")</f>
        <v>人参娃</v>
      </c>
      <c r="AB52" s="126" t="str">
        <f>IFERROR(VLOOKUP(AB12,中介表!$A$1:$C$21,3,FALSE),"")</f>
        <v>红孩儿</v>
      </c>
      <c r="AC52" s="126" t="str">
        <f>IFERROR(VLOOKUP(AC12,中介表!$A$1:$C$21,3,FALSE),"")</f>
        <v/>
      </c>
      <c r="AD52" s="126" t="str">
        <f>IFERROR(VLOOKUP(AD12,中介表!$A$1:$C$21,3,FALSE),"")</f>
        <v>金蝉子</v>
      </c>
      <c r="AE52" s="126" t="str">
        <f>IFERROR(VLOOKUP(AE12,中介表!$A$1:$C$21,3,FALSE),"")</f>
        <v>迦叶</v>
      </c>
      <c r="AF52" s="126" t="str">
        <f>IFERROR(VLOOKUP(AF12,中介表!$A$1:$C$21,3,FALSE),"")</f>
        <v/>
      </c>
      <c r="AG52" s="126" t="str">
        <f>IFERROR(VLOOKUP(AG12,中介表!$A$1:$C$21,3,FALSE),"")</f>
        <v>弥勒佛</v>
      </c>
      <c r="AH52" s="126" t="str">
        <f>IFERROR(VLOOKUP(AH12,中介表!$A$1:$C$21,3,FALSE),"")</f>
        <v>迦叶</v>
      </c>
      <c r="AI52" s="126" t="str">
        <f>IFERROR(VLOOKUP(AI12,中介表!$A$1:$C$21,3,FALSE),"")</f>
        <v/>
      </c>
      <c r="AJ52" s="126" t="str">
        <f>IFERROR(VLOOKUP(AJ12,中介表!$A$1:$C$21,3,FALSE),"")</f>
        <v>紫霞仙子</v>
      </c>
      <c r="AK52" s="126" t="str">
        <f>IFERROR(VLOOKUP(AK12,中介表!$A$1:$C$21,3,FALSE),"")</f>
        <v>迦叶</v>
      </c>
      <c r="AL52" s="126" t="str">
        <f>IFERROR(VLOOKUP(AL12,中介表!$A$1:$C$21,3,FALSE),"")</f>
        <v/>
      </c>
      <c r="AM52" s="126" t="str">
        <f>IFERROR(VLOOKUP(AM12,中介表!$A$1:$C$21,3,FALSE),"")</f>
        <v/>
      </c>
      <c r="AN52" s="126" t="str">
        <f>IFERROR(VLOOKUP(AN12,中介表!$A$1:$C$21,3,FALSE),"")</f>
        <v/>
      </c>
      <c r="AO52" s="126" t="str">
        <f>IFERROR(VLOOKUP(AO12,中介表!$A$1:$C$21,3,FALSE),"")</f>
        <v/>
      </c>
      <c r="AP52" s="126" t="str">
        <f>IFERROR(VLOOKUP(AP12,中介表!$A$1:$C$21,3,FALSE),"")</f>
        <v/>
      </c>
      <c r="AQ52" s="126" t="str">
        <f>IFERROR(VLOOKUP(AQ12,中介表!$A$1:$C$21,3,FALSE),"")</f>
        <v/>
      </c>
      <c r="AR52" s="40" t="str">
        <f>IFERROR(VLOOKUP(AR12,中介表!$A$1:$C$21,3,FALSE),"")</f>
        <v/>
      </c>
      <c r="AS52" s="40" t="str">
        <f>IFERROR(VLOOKUP(AS12,中介表!$A$1:$C$21,3,FALSE),"")</f>
        <v/>
      </c>
      <c r="AT52" s="40"/>
      <c r="AU52" s="40"/>
      <c r="AV52" s="40"/>
    </row>
    <row r="53" spans="1:48">
      <c r="A53" s="26" t="s">
        <v>21</v>
      </c>
      <c r="B53" s="26"/>
      <c r="C53" s="26" t="s">
        <v>11</v>
      </c>
      <c r="D53" s="3">
        <v>13</v>
      </c>
      <c r="E53" s="3" t="s">
        <v>60</v>
      </c>
      <c r="F53" s="3" t="str">
        <f>C53&amp;D53</f>
        <v>橙13</v>
      </c>
      <c r="G53" s="3" t="s">
        <v>65</v>
      </c>
      <c r="H53" s="142"/>
      <c r="I53" s="109" t="s">
        <v>138</v>
      </c>
      <c r="J53" s="140"/>
      <c r="K53" s="39" t="str">
        <f>IFERROR(VLOOKUP(I53,中介表!$A$1:$C$21,2,FALSE),"")</f>
        <v>黑无常</v>
      </c>
      <c r="L53" s="139"/>
      <c r="M53" s="39" t="str">
        <f>IFERROR(VLOOKUP(I53,中介表!$A$1:$C$21,3,FALSE),"")</f>
        <v>弥勒佛</v>
      </c>
      <c r="N53" s="39"/>
      <c r="O53" s="39"/>
      <c r="P53" s="39"/>
      <c r="Q53" s="39"/>
      <c r="R53" s="39"/>
      <c r="T53" s="26" t="s">
        <v>21</v>
      </c>
      <c r="U53" s="40"/>
      <c r="V53" s="126" t="str">
        <f>IFERROR(VLOOKUP(V14,中介表!$A$1:$C$21,3,FALSE),"")</f>
        <v>红孩儿</v>
      </c>
      <c r="W53" s="126" t="str">
        <f>IFERROR(VLOOKUP(W14,中介表!$A$1:$C$21,3,FALSE),"")</f>
        <v>引魂仙子</v>
      </c>
      <c r="X53" s="126" t="str">
        <f>IFERROR(VLOOKUP(X14,中介表!$A$1:$C$21,3,FALSE),"")</f>
        <v>女儿国国王</v>
      </c>
      <c r="Y53" s="126" t="str">
        <f>IFERROR(VLOOKUP(Y14,中介表!$A$1:$C$21,3,FALSE),"")</f>
        <v/>
      </c>
      <c r="Z53" s="126" t="str">
        <f>IFERROR(VLOOKUP(Z14,中介表!$A$1:$C$21,3,FALSE),"")</f>
        <v>唐三藏</v>
      </c>
      <c r="AA53" s="126" t="str">
        <f>IFERROR(VLOOKUP(AA14,中介表!$A$1:$C$21,3,FALSE),"")</f>
        <v>引魂仙子</v>
      </c>
      <c r="AB53" s="126" t="str">
        <f>IFERROR(VLOOKUP(AB14,中介表!$A$1:$C$21,3,FALSE),"")</f>
        <v>人参娃</v>
      </c>
      <c r="AC53" s="126" t="str">
        <f>IFERROR(VLOOKUP(AC14,中介表!$A$1:$C$21,3,FALSE),"")</f>
        <v/>
      </c>
      <c r="AD53" s="126" t="str">
        <f>IFERROR(VLOOKUP(AD14,中介表!$A$1:$C$21,3,FALSE),"")</f>
        <v>紫霞仙子</v>
      </c>
      <c r="AE53" s="126" t="str">
        <f>IFERROR(VLOOKUP(AE14,中介表!$A$1:$C$21,3,FALSE),"")</f>
        <v>引魂仙子</v>
      </c>
      <c r="AF53" s="126" t="str">
        <f>IFERROR(VLOOKUP(AF14,中介表!$A$1:$C$21,3,FALSE),"")</f>
        <v/>
      </c>
      <c r="AG53" s="126" t="str">
        <f>IFERROR(VLOOKUP(AG14,中介表!$A$1:$C$21,3,FALSE),"")</f>
        <v>龙帝</v>
      </c>
      <c r="AH53" s="126" t="str">
        <f>IFERROR(VLOOKUP(AH14,中介表!$A$1:$C$21,3,FALSE),"")</f>
        <v>引魂仙子</v>
      </c>
      <c r="AI53" s="126" t="str">
        <f>IFERROR(VLOOKUP(AI14,中介表!$A$1:$C$21,3,FALSE),"")</f>
        <v/>
      </c>
      <c r="AJ53" s="126" t="str">
        <f>IFERROR(VLOOKUP(AJ14,中介表!$A$1:$C$21,3,FALSE),"")</f>
        <v>引魂仙子</v>
      </c>
      <c r="AK53" s="126" t="str">
        <f>IFERROR(VLOOKUP(AK14,中介表!$A$1:$C$21,3,FALSE),"")</f>
        <v>人参娃</v>
      </c>
      <c r="AL53" s="126" t="str">
        <f>IFERROR(VLOOKUP(AL13,中介表!$A$1:$C$21,3,FALSE),"")</f>
        <v/>
      </c>
      <c r="AM53" s="126" t="str">
        <f>IFERROR(VLOOKUP(AM13,中介表!$A$1:$C$21,3,FALSE),"")</f>
        <v/>
      </c>
      <c r="AN53" s="126" t="str">
        <f>IFERROR(VLOOKUP(AN13,中介表!$A$1:$C$21,3,FALSE),"")</f>
        <v/>
      </c>
      <c r="AO53" s="126" t="str">
        <f>IFERROR(VLOOKUP(AO13,中介表!$A$1:$C$21,3,FALSE),"")</f>
        <v/>
      </c>
      <c r="AP53" s="126" t="str">
        <f>IFERROR(VLOOKUP(AP13,中介表!$A$1:$C$21,3,FALSE),"")</f>
        <v/>
      </c>
      <c r="AQ53" s="126" t="str">
        <f>IFERROR(VLOOKUP(AQ13,中介表!$A$1:$C$21,3,FALSE),"")</f>
        <v/>
      </c>
      <c r="AR53" s="40" t="str">
        <f>IFERROR(VLOOKUP(AR13,中介表!$A$1:$C$21,3,FALSE),"")</f>
        <v/>
      </c>
      <c r="AS53" s="40" t="str">
        <f>IFERROR(VLOOKUP(AS13,中介表!$A$1:$C$21,3,FALSE),"")</f>
        <v/>
      </c>
      <c r="AT53" s="40"/>
      <c r="AU53" s="40"/>
      <c r="AV53" s="40"/>
    </row>
    <row r="54" spans="1:48">
      <c r="A54" s="26" t="s">
        <v>766</v>
      </c>
      <c r="B54" s="26"/>
      <c r="C54" s="26" t="s">
        <v>11</v>
      </c>
      <c r="D54" s="3">
        <v>13</v>
      </c>
      <c r="E54" s="3" t="s">
        <v>60</v>
      </c>
      <c r="F54" s="3" t="str">
        <f t="shared" si="2"/>
        <v>橙13</v>
      </c>
      <c r="G54" s="3" t="s">
        <v>63</v>
      </c>
      <c r="I54" s="109"/>
      <c r="K54" s="39" t="str">
        <f>IFERROR(VLOOKUP(I54,中介表!$A$1:$C$21,2,FALSE),"")</f>
        <v/>
      </c>
      <c r="L54" s="39"/>
      <c r="M54" s="39" t="str">
        <f>IFERROR(VLOOKUP(I54,中介表!$A$1:$C$21,3,FALSE),"")</f>
        <v/>
      </c>
      <c r="N54" s="39"/>
      <c r="O54" s="39"/>
      <c r="P54" s="39"/>
      <c r="Q54" s="39"/>
      <c r="R54" s="39"/>
      <c r="T54" s="26" t="s">
        <v>766</v>
      </c>
      <c r="U54" s="40"/>
      <c r="V54" s="126" t="str">
        <f>IFERROR(VLOOKUP(V15,中介表!$A$1:$C$21,3,FALSE),"")</f>
        <v>迦叶</v>
      </c>
      <c r="W54" s="126" t="str">
        <f>IFERROR(VLOOKUP(W15,中介表!$A$1:$C$21,3,FALSE),"")</f>
        <v>人参娃</v>
      </c>
      <c r="X54" s="126" t="str">
        <f>IFERROR(VLOOKUP(X15,中介表!$A$1:$C$21,3,FALSE),"")</f>
        <v>红孩儿</v>
      </c>
      <c r="Y54" s="126" t="str">
        <f>IFERROR(VLOOKUP(Y15,中介表!$A$1:$C$21,3,FALSE),"")</f>
        <v/>
      </c>
      <c r="Z54" s="126" t="str">
        <f>IFERROR(VLOOKUP(Z15,中介表!$A$1:$C$21,3,FALSE),"")</f>
        <v>唐三藏</v>
      </c>
      <c r="AA54" s="126" t="str">
        <f>IFERROR(VLOOKUP(AA15,中介表!$A$1:$C$21,3,FALSE),"")</f>
        <v>引魂仙子</v>
      </c>
      <c r="AB54" s="126" t="str">
        <f>IFERROR(VLOOKUP(AB15,中介表!$A$1:$C$21,3,FALSE),"")</f>
        <v>人参娃</v>
      </c>
      <c r="AC54" s="126" t="str">
        <f>IFERROR(VLOOKUP(AC15,中介表!$A$1:$C$21,3,FALSE),"")</f>
        <v/>
      </c>
      <c r="AD54" s="126" t="str">
        <f>IFERROR(VLOOKUP(AD15,中介表!$A$1:$C$21,3,FALSE),"")</f>
        <v>斗战胜佛</v>
      </c>
      <c r="AE54" s="126" t="str">
        <f>IFERROR(VLOOKUP(AE15,中介表!$A$1:$C$21,3,FALSE),"")</f>
        <v>人参娃</v>
      </c>
      <c r="AF54" s="126" t="str">
        <f>IFERROR(VLOOKUP(AF15,中介表!$A$1:$C$21,3,FALSE),"")</f>
        <v/>
      </c>
      <c r="AG54" s="126" t="str">
        <f>IFERROR(VLOOKUP(AG15,中介表!$A$1:$C$21,3,FALSE),"")</f>
        <v>八部天龙</v>
      </c>
      <c r="AH54" s="126" t="str">
        <f>IFERROR(VLOOKUP(AH15,中介表!$A$1:$C$21,3,FALSE),"")</f>
        <v>人参娃</v>
      </c>
      <c r="AI54" s="126" t="str">
        <f>IFERROR(VLOOKUP(AI15,中介表!$A$1:$C$21,3,FALSE),"")</f>
        <v/>
      </c>
      <c r="AJ54" s="126" t="str">
        <f>IFERROR(VLOOKUP(AJ15,中介表!$A$1:$C$21,3,FALSE),"")</f>
        <v>引魂仙子</v>
      </c>
      <c r="AK54" s="126" t="str">
        <f>IFERROR(VLOOKUP(AK15,中介表!$A$1:$C$21,3,FALSE),"")</f>
        <v>人参娃</v>
      </c>
      <c r="AL54" s="126" t="str">
        <f>IFERROR(VLOOKUP(AL14,中介表!$A$1:$C$21,3,FALSE),"")</f>
        <v/>
      </c>
      <c r="AM54" s="126" t="str">
        <f>IFERROR(VLOOKUP(AM14,中介表!$A$1:$C$21,3,FALSE),"")</f>
        <v/>
      </c>
      <c r="AN54" s="126" t="str">
        <f>IFERROR(VLOOKUP(AN14,中介表!$A$1:$C$21,3,FALSE),"")</f>
        <v/>
      </c>
      <c r="AO54" s="126" t="str">
        <f>IFERROR(VLOOKUP(AO14,中介表!$A$1:$C$21,3,FALSE),"")</f>
        <v/>
      </c>
      <c r="AP54" s="126" t="str">
        <f>IFERROR(VLOOKUP(AP14,中介表!$A$1:$C$21,3,FALSE),"")</f>
        <v/>
      </c>
      <c r="AQ54" s="126" t="str">
        <f>IFERROR(VLOOKUP(AQ14,中介表!$A$1:$C$21,3,FALSE),"")</f>
        <v/>
      </c>
      <c r="AR54" s="40" t="str">
        <f>IFERROR(VLOOKUP(AR14,中介表!$A$1:$C$21,3,FALSE),"")</f>
        <v/>
      </c>
      <c r="AS54" s="40" t="str">
        <f>IFERROR(VLOOKUP(AS14,中介表!$A$1:$C$21,3,FALSE),"")</f>
        <v/>
      </c>
      <c r="AT54" s="40"/>
      <c r="AU54" s="40"/>
      <c r="AV54" s="40"/>
    </row>
    <row r="55" spans="1:48">
      <c r="A55" s="26" t="s">
        <v>85</v>
      </c>
      <c r="B55" s="26"/>
      <c r="C55" s="26" t="s">
        <v>11</v>
      </c>
      <c r="D55" s="3">
        <v>13</v>
      </c>
      <c r="E55" s="3" t="s">
        <v>60</v>
      </c>
      <c r="F55" s="3" t="str">
        <f t="shared" si="2"/>
        <v>橙13</v>
      </c>
      <c r="G55" s="3" t="s">
        <v>67</v>
      </c>
      <c r="H55" s="142" t="s">
        <v>611</v>
      </c>
      <c r="I55" s="109" t="s">
        <v>96</v>
      </c>
      <c r="J55" s="140" t="s">
        <v>582</v>
      </c>
      <c r="K55" s="39" t="str">
        <f>IFERROR(VLOOKUP(I55,中介表!$A$1:$C$21,2,FALSE),"")</f>
        <v>二郎神</v>
      </c>
      <c r="L55" s="139" t="s">
        <v>613</v>
      </c>
      <c r="M55" s="39" t="str">
        <f>IFERROR(VLOOKUP(I55,中介表!$A$1:$C$21,3,FALSE),"")</f>
        <v>斗战胜佛</v>
      </c>
      <c r="N55" s="39"/>
      <c r="O55" s="39"/>
      <c r="P55" s="39"/>
      <c r="Q55" s="39"/>
      <c r="R55" s="39"/>
      <c r="T55" s="26" t="s">
        <v>85</v>
      </c>
      <c r="U55" s="40"/>
      <c r="V55" s="126" t="str">
        <f>IFERROR(VLOOKUP(V13,中介表!$A$1:$C$21,3,FALSE),"")</f>
        <v>唐三藏</v>
      </c>
      <c r="W55" s="126" t="str">
        <f>IFERROR(VLOOKUP(W13,中介表!$A$1:$C$21,3,FALSE),"")</f>
        <v>迦叶</v>
      </c>
      <c r="X55" s="126" t="str">
        <f>IFERROR(VLOOKUP(X13,中介表!$A$1:$C$21,3,FALSE),"")</f>
        <v>女儿国国王</v>
      </c>
      <c r="Y55" s="126" t="str">
        <f>IFERROR(VLOOKUP(Y13,中介表!$A$1:$C$21,3,FALSE),"")</f>
        <v/>
      </c>
      <c r="Z55" s="126" t="str">
        <f>IFERROR(VLOOKUP(Z13,中介表!$A$1:$C$21,3,FALSE),"")</f>
        <v>红孩儿</v>
      </c>
      <c r="AA55" s="126" t="str">
        <f>IFERROR(VLOOKUP(AA13,中介表!$A$1:$C$21,3,FALSE),"")</f>
        <v>引魂仙子</v>
      </c>
      <c r="AB55" s="126" t="str">
        <f>IFERROR(VLOOKUP(AB13,中介表!$A$1:$C$21,3,FALSE),"")</f>
        <v>女儿国国王</v>
      </c>
      <c r="AC55" s="126" t="str">
        <f>IFERROR(VLOOKUP(AC13,中介表!$A$1:$C$21,3,FALSE),"")</f>
        <v/>
      </c>
      <c r="AD55" s="126" t="str">
        <f>IFERROR(VLOOKUP(AD13,中介表!$A$1:$C$21,3,FALSE),"")</f>
        <v>紫霞仙子</v>
      </c>
      <c r="AE55" s="126" t="str">
        <f>IFERROR(VLOOKUP(AE13,中介表!$A$1:$C$21,3,FALSE),"")</f>
        <v>女儿国国王</v>
      </c>
      <c r="AF55" s="126" t="str">
        <f>IFERROR(VLOOKUP(AF13,中介表!$A$1:$C$21,3,FALSE),"")</f>
        <v/>
      </c>
      <c r="AG55" s="126" t="str">
        <f>IFERROR(VLOOKUP(AG13,中介表!$A$1:$C$21,3,FALSE),"")</f>
        <v>龙帝</v>
      </c>
      <c r="AH55" s="126" t="str">
        <f>IFERROR(VLOOKUP(AH13,中介表!$A$1:$C$21,3,FALSE),"")</f>
        <v>女儿国国王</v>
      </c>
      <c r="AI55" s="126" t="str">
        <f>IFERROR(VLOOKUP(AI13,中介表!$A$1:$C$21,3,FALSE),"")</f>
        <v/>
      </c>
      <c r="AJ55" s="126" t="str">
        <f>IFERROR(VLOOKUP(AJ13,中介表!$A$1:$C$21,3,FALSE),"")</f>
        <v>八部天龙</v>
      </c>
      <c r="AK55" s="126" t="str">
        <f>IFERROR(VLOOKUP(AK13,中介表!$A$1:$C$21,3,FALSE),"")</f>
        <v>女儿国国王</v>
      </c>
      <c r="AL55" s="126" t="str">
        <f>IFERROR(VLOOKUP(AL15,中介表!$A$1:$C$21,3,FALSE),"")</f>
        <v/>
      </c>
      <c r="AM55" s="126" t="str">
        <f>IFERROR(VLOOKUP(AM15,中介表!$A$1:$C$21,3,FALSE),"")</f>
        <v/>
      </c>
      <c r="AN55" s="126" t="str">
        <f>IFERROR(VLOOKUP(AN15,中介表!$A$1:$C$21,3,FALSE),"")</f>
        <v/>
      </c>
      <c r="AO55" s="126" t="str">
        <f>IFERROR(VLOOKUP(AO15,中介表!$A$1:$C$21,3,FALSE),"")</f>
        <v/>
      </c>
      <c r="AP55" s="126" t="str">
        <f>IFERROR(VLOOKUP(AP15,中介表!$A$1:$C$21,3,FALSE),"")</f>
        <v/>
      </c>
      <c r="AQ55" s="126" t="str">
        <f>IFERROR(VLOOKUP(AQ15,中介表!$A$1:$C$21,3,FALSE),"")</f>
        <v/>
      </c>
      <c r="AR55" s="40" t="str">
        <f>IFERROR(VLOOKUP(AR15,中介表!$A$1:$C$21,3,FALSE),"")</f>
        <v/>
      </c>
      <c r="AS55" s="40" t="str">
        <f>IFERROR(VLOOKUP(AS15,中介表!$A$1:$C$21,3,FALSE),"")</f>
        <v/>
      </c>
      <c r="AT55" s="40"/>
      <c r="AU55" s="40"/>
      <c r="AV55" s="40"/>
    </row>
    <row r="56" spans="1:48">
      <c r="A56" s="10" t="s">
        <v>51</v>
      </c>
      <c r="B56" s="10"/>
      <c r="C56" s="10" t="s">
        <v>84</v>
      </c>
      <c r="D56" s="3">
        <v>11</v>
      </c>
      <c r="E56" s="3" t="s">
        <v>60</v>
      </c>
      <c r="F56" s="3" t="str">
        <f t="shared" si="2"/>
        <v>紫11</v>
      </c>
      <c r="G56" s="3" t="s">
        <v>64</v>
      </c>
      <c r="H56" s="142"/>
      <c r="I56" s="109" t="s">
        <v>152</v>
      </c>
      <c r="J56" s="140"/>
      <c r="K56" s="39" t="str">
        <f>IFERROR(VLOOKUP(I56,中介表!$A$1:$C$21,2,FALSE),"")</f>
        <v>玉皇大帝</v>
      </c>
      <c r="L56" s="139"/>
      <c r="M56" s="39" t="str">
        <f>IFERROR(VLOOKUP(I56,中介表!$A$1:$C$21,3,FALSE),"")</f>
        <v>红孩儿</v>
      </c>
      <c r="N56" s="39"/>
      <c r="O56" s="39"/>
      <c r="P56" s="39"/>
      <c r="Q56" s="39"/>
      <c r="R56" s="39"/>
      <c r="T56" s="10" t="s">
        <v>51</v>
      </c>
      <c r="U56" s="40"/>
      <c r="V56" s="126" t="str">
        <f>IFERROR(VLOOKUP(V16,中介表!$A$1:$C$21,3,FALSE),"")</f>
        <v>白龙公主</v>
      </c>
      <c r="W56" s="126" t="str">
        <f>IFERROR(VLOOKUP(W16,中介表!$A$1:$C$21,3,FALSE),"")</f>
        <v>黑熊精</v>
      </c>
      <c r="X56" s="126" t="str">
        <f>IFERROR(VLOOKUP(X16,中介表!$A$1:$C$21,3,FALSE),"")</f>
        <v>地藏王</v>
      </c>
      <c r="Y56" s="126" t="str">
        <f>IFERROR(VLOOKUP(Y16,中介表!$A$1:$C$21,3,FALSE),"")</f>
        <v/>
      </c>
      <c r="Z56" s="126" t="str">
        <f>IFERROR(VLOOKUP(Z16,中介表!$A$1:$C$21,3,FALSE),"")</f>
        <v>地藏王</v>
      </c>
      <c r="AA56" s="126" t="str">
        <f>IFERROR(VLOOKUP(AA16,中介表!$A$1:$C$21,3,FALSE),"")</f>
        <v>混沌</v>
      </c>
      <c r="AB56" s="126" t="str">
        <f>IFERROR(VLOOKUP(AB16,中介表!$A$1:$C$21,3,FALSE),"")</f>
        <v/>
      </c>
      <c r="AC56" s="126" t="str">
        <f>IFERROR(VLOOKUP(AC16,中介表!$A$1:$C$21,3,FALSE),"")</f>
        <v>地藏王</v>
      </c>
      <c r="AD56" s="126" t="str">
        <f>IFERROR(VLOOKUP(AD16,中介表!$A$1:$C$21,3,FALSE),"")</f>
        <v>白龙公主</v>
      </c>
      <c r="AE56" s="126" t="str">
        <f>IFERROR(VLOOKUP(AE16,中介表!$A$1:$C$21,3,FALSE),"")</f>
        <v/>
      </c>
      <c r="AF56" s="126" t="str">
        <f>IFERROR(VLOOKUP(AF16,中介表!$A$1:$C$21,3,FALSE),"")</f>
        <v>地藏王</v>
      </c>
      <c r="AG56" s="126" t="str">
        <f>IFERROR(VLOOKUP(AG16,中介表!$A$1:$C$21,3,FALSE),"")</f>
        <v>赛太岁</v>
      </c>
      <c r="AH56" s="126" t="str">
        <f>IFERROR(VLOOKUP(AH16,中介表!$A$1:$C$21,3,FALSE),"")</f>
        <v/>
      </c>
      <c r="AI56" s="126" t="str">
        <f>IFERROR(VLOOKUP(AI16,中介表!$A$1:$C$21,3,FALSE),"")</f>
        <v/>
      </c>
      <c r="AJ56" s="126" t="str">
        <f>IFERROR(VLOOKUP(AJ16,中介表!$A$1:$C$21,3,FALSE),"")</f>
        <v/>
      </c>
      <c r="AK56" s="126" t="str">
        <f>IFERROR(VLOOKUP(AK16,中介表!$A$1:$C$21,3,FALSE),"")</f>
        <v/>
      </c>
      <c r="AL56" s="126" t="str">
        <f>IFERROR(VLOOKUP(AL16,中介表!$A$1:$C$21,3,FALSE),"")</f>
        <v/>
      </c>
      <c r="AM56" s="126" t="str">
        <f>IFERROR(VLOOKUP(AM16,中介表!$A$1:$C$21,3,FALSE),"")</f>
        <v/>
      </c>
      <c r="AN56" s="126" t="str">
        <f>IFERROR(VLOOKUP(AN16,中介表!$A$1:$C$21,3,FALSE),"")</f>
        <v/>
      </c>
      <c r="AO56" s="126" t="str">
        <f>IFERROR(VLOOKUP(AO16,中介表!$A$1:$C$21,3,FALSE),"")</f>
        <v/>
      </c>
      <c r="AP56" s="126" t="str">
        <f>IFERROR(VLOOKUP(AP16,中介表!$A$1:$C$21,3,FALSE),"")</f>
        <v/>
      </c>
      <c r="AQ56" s="126"/>
      <c r="AR56" s="40"/>
      <c r="AS56" s="40"/>
      <c r="AT56" s="40"/>
      <c r="AU56" s="40"/>
      <c r="AV56" s="40"/>
    </row>
    <row r="57" spans="1:48">
      <c r="A57" s="10" t="s">
        <v>49</v>
      </c>
      <c r="B57" s="10"/>
      <c r="C57" s="10" t="s">
        <v>84</v>
      </c>
      <c r="D57" s="3">
        <v>11</v>
      </c>
      <c r="E57" s="3" t="s">
        <v>60</v>
      </c>
      <c r="F57" s="3" t="str">
        <f>C57&amp;D57</f>
        <v>紫11</v>
      </c>
      <c r="G57" s="3" t="s">
        <v>65</v>
      </c>
      <c r="I57" s="109"/>
      <c r="K57" s="39" t="str">
        <f>IFERROR(VLOOKUP(I57,中介表!$A$1:$C$21,2,FALSE),"")</f>
        <v/>
      </c>
      <c r="L57" s="39"/>
      <c r="M57" s="39" t="str">
        <f>IFERROR(VLOOKUP(I57,中介表!$A$1:$C$21,3,FALSE),"")</f>
        <v/>
      </c>
      <c r="N57" s="39"/>
      <c r="O57" s="39"/>
      <c r="P57" s="39"/>
      <c r="Q57" s="39"/>
      <c r="R57" s="39"/>
      <c r="T57" s="10" t="s">
        <v>49</v>
      </c>
      <c r="U57" s="40"/>
      <c r="V57" s="126" t="str">
        <f>IFERROR(VLOOKUP(V17,中介表!$A$1:$C$21,3,FALSE),"")</f>
        <v>琴仙</v>
      </c>
      <c r="W57" s="126" t="str">
        <f>IFERROR(VLOOKUP(W17,中介表!$A$1:$C$21,3,FALSE),"")</f>
        <v>混沌</v>
      </c>
      <c r="X57" s="126" t="str">
        <f>IFERROR(VLOOKUP(X17,中介表!$A$1:$C$21,3,FALSE),"")</f>
        <v>黑熊精</v>
      </c>
      <c r="Y57" s="126" t="str">
        <f>IFERROR(VLOOKUP(Y17,中介表!$A$1:$C$21,3,FALSE),"")</f>
        <v/>
      </c>
      <c r="Z57" s="126" t="str">
        <f>IFERROR(VLOOKUP(Z17,中介表!$A$1:$C$21,3,FALSE),"")</f>
        <v>地藏王</v>
      </c>
      <c r="AA57" s="126" t="str">
        <f>IFERROR(VLOOKUP(AA17,中介表!$A$1:$C$21,3,FALSE),"")</f>
        <v>混沌</v>
      </c>
      <c r="AB57" s="126" t="str">
        <f>IFERROR(VLOOKUP(AB17,中介表!$A$1:$C$21,3,FALSE),"")</f>
        <v/>
      </c>
      <c r="AC57" s="126" t="str">
        <f>IFERROR(VLOOKUP(AC17,中介表!$A$1:$C$21,3,FALSE),"")</f>
        <v>混沌</v>
      </c>
      <c r="AD57" s="126" t="str">
        <f>IFERROR(VLOOKUP(AD17,中介表!$A$1:$C$21,3,FALSE),"")</f>
        <v>赛太岁</v>
      </c>
      <c r="AE57" s="126" t="str">
        <f>IFERROR(VLOOKUP(AE17,中介表!$A$1:$C$21,3,FALSE),"")</f>
        <v/>
      </c>
      <c r="AF57" s="126" t="str">
        <f>IFERROR(VLOOKUP(AF17,中介表!$A$1:$C$21,3,FALSE),"")</f>
        <v>混沌</v>
      </c>
      <c r="AG57" s="126" t="str">
        <f>IFERROR(VLOOKUP(AG17,中介表!$A$1:$C$21,3,FALSE),"")</f>
        <v>琴仙</v>
      </c>
      <c r="AH57" s="126" t="str">
        <f>IFERROR(VLOOKUP(AH17,中介表!$A$1:$C$21,3,FALSE),"")</f>
        <v/>
      </c>
      <c r="AI57" s="126" t="str">
        <f>IFERROR(VLOOKUP(AI17,中介表!$A$1:$C$21,3,FALSE),"")</f>
        <v/>
      </c>
      <c r="AJ57" s="126" t="str">
        <f>IFERROR(VLOOKUP(AJ17,中介表!$A$1:$C$21,3,FALSE),"")</f>
        <v/>
      </c>
      <c r="AK57" s="126" t="str">
        <f>IFERROR(VLOOKUP(AK17,中介表!$A$1:$C$21,3,FALSE),"")</f>
        <v/>
      </c>
      <c r="AL57" s="126" t="str">
        <f>IFERROR(VLOOKUP(AL17,中介表!$A$1:$C$21,3,FALSE),"")</f>
        <v/>
      </c>
      <c r="AM57" s="126" t="str">
        <f>IFERROR(VLOOKUP(AM17,中介表!$A$1:$C$21,3,FALSE),"")</f>
        <v/>
      </c>
      <c r="AN57" s="126" t="str">
        <f>IFERROR(VLOOKUP(AN17,中介表!$A$1:$C$21,3,FALSE),"")</f>
        <v/>
      </c>
      <c r="AO57" s="126" t="str">
        <f>IFERROR(VLOOKUP(AO17,中介表!$A$1:$C$21,3,FALSE),"")</f>
        <v/>
      </c>
      <c r="AP57" s="126" t="str">
        <f>IFERROR(VLOOKUP(AP17,中介表!$A$1:$C$21,3,FALSE),"")</f>
        <v/>
      </c>
      <c r="AQ57" s="126"/>
      <c r="AR57" s="40"/>
      <c r="AS57" s="40"/>
      <c r="AT57" s="40"/>
      <c r="AU57" s="40"/>
      <c r="AV57" s="40"/>
    </row>
    <row r="58" spans="1:48">
      <c r="A58" s="10" t="s">
        <v>56</v>
      </c>
      <c r="B58" s="10"/>
      <c r="C58" s="10" t="s">
        <v>18</v>
      </c>
      <c r="D58" s="3">
        <v>11</v>
      </c>
      <c r="E58" s="3" t="s">
        <v>60</v>
      </c>
      <c r="F58" s="3" t="str">
        <f t="shared" si="2"/>
        <v>紫11</v>
      </c>
      <c r="G58" s="3" t="s">
        <v>66</v>
      </c>
      <c r="H58" s="142" t="s">
        <v>631</v>
      </c>
      <c r="I58" s="109" t="s">
        <v>4</v>
      </c>
      <c r="J58" s="140" t="s">
        <v>592</v>
      </c>
      <c r="K58" s="39" t="str">
        <f>IFERROR(VLOOKUP(I58,中介表!$A$1:$C$21,2,FALSE),"")</f>
        <v>哪吒</v>
      </c>
      <c r="L58" s="139" t="s">
        <v>618</v>
      </c>
      <c r="M58" s="39" t="str">
        <f>IFERROR(VLOOKUP(I58,中介表!$A$1:$C$21,3,FALSE),"")</f>
        <v>八部天龙</v>
      </c>
      <c r="N58" s="39"/>
      <c r="O58" s="39"/>
      <c r="P58" s="39"/>
      <c r="Q58" s="39"/>
      <c r="R58" s="39"/>
      <c r="T58" s="10" t="s">
        <v>56</v>
      </c>
      <c r="U58" s="40"/>
      <c r="V58" s="126" t="str">
        <f>IFERROR(VLOOKUP(V18,中介表!$A$1:$C$21,3,FALSE),"")</f>
        <v>白龙公主</v>
      </c>
      <c r="W58" s="126" t="str">
        <f>IFERROR(VLOOKUP(W18,中介表!$A$1:$C$21,3,FALSE),"")</f>
        <v>黑熊精</v>
      </c>
      <c r="X58" s="126" t="str">
        <f>IFERROR(VLOOKUP(X18,中介表!$A$1:$C$21,3,FALSE),"")</f>
        <v>地藏王</v>
      </c>
      <c r="Y58" s="126" t="str">
        <f>IFERROR(VLOOKUP(Y18,中介表!$A$1:$C$21,3,FALSE),"")</f>
        <v/>
      </c>
      <c r="Z58" s="126" t="str">
        <f>IFERROR(VLOOKUP(Z18,中介表!$A$1:$C$21,3,FALSE),"")</f>
        <v>白龙公主</v>
      </c>
      <c r="AA58" s="126" t="str">
        <f>IFERROR(VLOOKUP(AA18,中介表!$A$1:$C$21,3,FALSE),"")</f>
        <v>赛太岁</v>
      </c>
      <c r="AB58" s="126" t="str">
        <f>IFERROR(VLOOKUP(AB18,中介表!$A$1:$C$21,3,FALSE),"")</f>
        <v/>
      </c>
      <c r="AC58" s="126" t="str">
        <f>IFERROR(VLOOKUP(AC18,中介表!$A$1:$C$21,3,FALSE),"")</f>
        <v>白龙公主</v>
      </c>
      <c r="AD58" s="126" t="str">
        <f>IFERROR(VLOOKUP(AD18,中介表!$A$1:$C$21,3,FALSE),"")</f>
        <v>琴仙</v>
      </c>
      <c r="AE58" s="126" t="str">
        <f>IFERROR(VLOOKUP(AE18,中介表!$A$1:$C$21,3,FALSE),"")</f>
        <v/>
      </c>
      <c r="AF58" s="126" t="str">
        <f>IFERROR(VLOOKUP(AF18,中介表!$A$1:$C$21,3,FALSE),"")</f>
        <v>地藏王</v>
      </c>
      <c r="AG58" s="126" t="str">
        <f>IFERROR(VLOOKUP(AG18,中介表!$A$1:$C$21,3,FALSE),"")</f>
        <v>白龙公主</v>
      </c>
      <c r="AH58" s="126" t="str">
        <f>IFERROR(VLOOKUP(AH18,中介表!$A$1:$C$21,3,FALSE),"")</f>
        <v/>
      </c>
      <c r="AI58" s="126" t="str">
        <f>IFERROR(VLOOKUP(AI18,中介表!$A$1:$C$21,3,FALSE),"")</f>
        <v/>
      </c>
      <c r="AJ58" s="126" t="str">
        <f>IFERROR(VLOOKUP(AJ18,中介表!$A$1:$C$21,3,FALSE),"")</f>
        <v/>
      </c>
      <c r="AK58" s="126" t="str">
        <f>IFERROR(VLOOKUP(AK18,中介表!$A$1:$C$21,3,FALSE),"")</f>
        <v/>
      </c>
      <c r="AL58" s="126" t="str">
        <f>IFERROR(VLOOKUP(AL18,中介表!$A$1:$C$21,3,FALSE),"")</f>
        <v/>
      </c>
      <c r="AM58" s="126" t="str">
        <f>IFERROR(VLOOKUP(AM18,中介表!$A$1:$C$21,3,FALSE),"")</f>
        <v/>
      </c>
      <c r="AN58" s="126" t="str">
        <f>IFERROR(VLOOKUP(AN18,中介表!$A$1:$C$21,3,FALSE),"")</f>
        <v/>
      </c>
      <c r="AO58" s="126" t="str">
        <f>IFERROR(VLOOKUP(AO18,中介表!$A$1:$C$21,3,FALSE),"")</f>
        <v/>
      </c>
      <c r="AP58" s="126" t="str">
        <f>IFERROR(VLOOKUP(AP18,中介表!$A$1:$C$21,3,FALSE),"")</f>
        <v/>
      </c>
      <c r="AQ58" s="126"/>
      <c r="AR58" s="40"/>
      <c r="AS58" s="40"/>
      <c r="AT58" s="40"/>
      <c r="AU58" s="40"/>
      <c r="AV58" s="40"/>
    </row>
    <row r="59" spans="1:48">
      <c r="A59" s="46" t="s">
        <v>150</v>
      </c>
      <c r="B59" s="10"/>
      <c r="C59" s="7" t="s">
        <v>18</v>
      </c>
      <c r="D59" s="33">
        <v>11</v>
      </c>
      <c r="E59" s="3" t="s">
        <v>60</v>
      </c>
      <c r="F59" s="33" t="str">
        <f>C59&amp;D59</f>
        <v>紫11</v>
      </c>
      <c r="G59" s="33" t="s">
        <v>65</v>
      </c>
      <c r="H59" s="142"/>
      <c r="I59" s="109" t="s">
        <v>152</v>
      </c>
      <c r="J59" s="140"/>
      <c r="K59" s="39" t="str">
        <f>IFERROR(VLOOKUP(I59,中介表!$A$1:$C$21,2,FALSE),"")</f>
        <v>玉皇大帝</v>
      </c>
      <c r="L59" s="139"/>
      <c r="M59" s="39" t="str">
        <f>IFERROR(VLOOKUP(I59,中介表!$A$1:$C$21,3,FALSE),"")</f>
        <v>红孩儿</v>
      </c>
      <c r="N59" s="39"/>
      <c r="O59" s="39"/>
      <c r="P59" s="39"/>
      <c r="Q59" s="39"/>
      <c r="R59" s="39"/>
      <c r="T59" s="46" t="s">
        <v>150</v>
      </c>
      <c r="U59" s="40"/>
      <c r="V59" s="126" t="str">
        <f>IFERROR(VLOOKUP(V19,中介表!$A$1:$C$21,3,FALSE),"")</f>
        <v>白龙公主</v>
      </c>
      <c r="W59" s="126" t="str">
        <f>IFERROR(VLOOKUP(W19,中介表!$A$1:$C$21,3,FALSE),"")</f>
        <v>赛太岁</v>
      </c>
      <c r="X59" s="126" t="str">
        <f>IFERROR(VLOOKUP(X19,中介表!$A$1:$C$21,3,FALSE),"")</f>
        <v/>
      </c>
      <c r="Y59" s="126" t="str">
        <f>IFERROR(VLOOKUP(Y19,中介表!$A$1:$C$21,3,FALSE),"")</f>
        <v>混沌</v>
      </c>
      <c r="Z59" s="126" t="str">
        <f>IFERROR(VLOOKUP(Z19,中介表!$A$1:$C$21,3,FALSE),"")</f>
        <v>赛太岁</v>
      </c>
      <c r="AA59" s="126" t="str">
        <f>IFERROR(VLOOKUP(AA19,中介表!$A$1:$C$21,3,FALSE),"")</f>
        <v/>
      </c>
      <c r="AB59" s="126" t="str">
        <f>IFERROR(VLOOKUP(AB19,中介表!$A$1:$C$21,3,FALSE),"")</f>
        <v>赛太岁</v>
      </c>
      <c r="AC59" s="126" t="str">
        <f>IFERROR(VLOOKUP(AC19,中介表!$A$1:$C$21,3,FALSE),"")</f>
        <v>黑熊精</v>
      </c>
      <c r="AD59" s="126" t="str">
        <f>IFERROR(VLOOKUP(AD19,中介表!$A$1:$C$21,3,FALSE),"")</f>
        <v/>
      </c>
      <c r="AE59" s="126" t="str">
        <f>IFERROR(VLOOKUP(AE19,中介表!$A$1:$C$21,3,FALSE),"")</f>
        <v>地藏王</v>
      </c>
      <c r="AF59" s="126" t="str">
        <f>IFERROR(VLOOKUP(AF19,中介表!$A$1:$C$21,3,FALSE),"")</f>
        <v>赛太岁</v>
      </c>
      <c r="AG59" s="126" t="str">
        <f>IFERROR(VLOOKUP(AG19,中介表!$A$1:$C$21,3,FALSE),"")</f>
        <v/>
      </c>
      <c r="AH59" s="126" t="str">
        <f>IFERROR(VLOOKUP(AH19,中介表!$A$1:$C$21,3,FALSE),"")</f>
        <v/>
      </c>
      <c r="AI59" s="126" t="str">
        <f>IFERROR(VLOOKUP(AI19,中介表!$A$1:$C$21,3,FALSE),"")</f>
        <v/>
      </c>
      <c r="AJ59" s="126" t="str">
        <f>IFERROR(VLOOKUP(AJ19,中介表!$A$1:$C$21,3,FALSE),"")</f>
        <v/>
      </c>
      <c r="AK59" s="126" t="str">
        <f>IFERROR(VLOOKUP(AK19,中介表!$A$1:$C$21,3,FALSE),"")</f>
        <v/>
      </c>
      <c r="AL59" s="126" t="str">
        <f>IFERROR(VLOOKUP(AL19,中介表!$A$1:$C$21,3,FALSE),"")</f>
        <v/>
      </c>
      <c r="AM59" s="126" t="str">
        <f>IFERROR(VLOOKUP(AM19,中介表!$A$1:$C$21,3,FALSE),"")</f>
        <v/>
      </c>
      <c r="AN59" s="126" t="str">
        <f>IFERROR(VLOOKUP(AN19,中介表!$A$1:$C$21,3,FALSE),"")</f>
        <v/>
      </c>
      <c r="AO59" s="126" t="str">
        <f>IFERROR(VLOOKUP(AO19,中介表!$A$1:$C$21,3,FALSE),"")</f>
        <v/>
      </c>
      <c r="AP59" s="126" t="str">
        <f>IFERROR(VLOOKUP(AP19,中介表!$A$1:$C$21,3,FALSE),"")</f>
        <v/>
      </c>
      <c r="AQ59" s="126"/>
      <c r="AR59" s="40"/>
      <c r="AS59" s="40"/>
      <c r="AT59" s="40"/>
      <c r="AU59" s="40"/>
      <c r="AV59" s="40"/>
    </row>
    <row r="60" spans="1:48">
      <c r="A60" s="10" t="s">
        <v>154</v>
      </c>
      <c r="B60" s="10"/>
      <c r="C60" s="10" t="s">
        <v>84</v>
      </c>
      <c r="D60" s="3">
        <v>11</v>
      </c>
      <c r="E60" s="3" t="s">
        <v>60</v>
      </c>
      <c r="F60" s="3" t="str">
        <f t="shared" ref="F60" si="4">C60&amp;D60</f>
        <v>紫11</v>
      </c>
      <c r="G60" s="3" t="s">
        <v>155</v>
      </c>
      <c r="I60" s="109"/>
      <c r="K60" s="39" t="str">
        <f>IFERROR(VLOOKUP(I60,中介表!$A$1:$C$21,2,FALSE),"")</f>
        <v/>
      </c>
      <c r="L60" s="39"/>
      <c r="M60" s="39" t="str">
        <f>IFERROR(VLOOKUP(I60,中介表!$A$1:$C$21,3,FALSE),"")</f>
        <v/>
      </c>
      <c r="N60" s="39"/>
      <c r="O60" s="39"/>
      <c r="P60" s="39"/>
      <c r="Q60" s="39"/>
      <c r="R60" s="39"/>
      <c r="T60" s="10" t="s">
        <v>154</v>
      </c>
      <c r="U60" s="40"/>
      <c r="V60" s="126" t="str">
        <f>IFERROR(VLOOKUP(V20,中介表!$A$1:$C$21,3,FALSE),"")</f>
        <v>琴仙</v>
      </c>
      <c r="W60" s="126" t="str">
        <f>IFERROR(VLOOKUP(W20,中介表!$A$1:$C$21,3,FALSE),"")</f>
        <v>混沌</v>
      </c>
      <c r="X60" s="126" t="str">
        <f>IFERROR(VLOOKUP(X20,中介表!$A$1:$C$21,3,FALSE),"")</f>
        <v>黑熊精</v>
      </c>
      <c r="Y60" s="126" t="str">
        <f>IFERROR(VLOOKUP(Y20,中介表!$A$1:$C$21,3,FALSE),"")</f>
        <v/>
      </c>
      <c r="Z60" s="126" t="str">
        <f>IFERROR(VLOOKUP(Z20,中介表!$A$1:$C$21,3,FALSE),"")</f>
        <v>琴仙</v>
      </c>
      <c r="AA60" s="126" t="str">
        <f>IFERROR(VLOOKUP(AA20,中介表!$A$1:$C$21,3,FALSE),"")</f>
        <v>黑熊精</v>
      </c>
      <c r="AB60" s="126" t="str">
        <f>IFERROR(VLOOKUP(AB20,中介表!$A$1:$C$21,3,FALSE),"")</f>
        <v/>
      </c>
      <c r="AC60" s="126" t="str">
        <f>IFERROR(VLOOKUP(AC20,中介表!$A$1:$C$21,3,FALSE),"")</f>
        <v>白龙公主</v>
      </c>
      <c r="AD60" s="126" t="str">
        <f>IFERROR(VLOOKUP(AD20,中介表!$A$1:$C$21,3,FALSE),"")</f>
        <v>琴仙</v>
      </c>
      <c r="AE60" s="126" t="str">
        <f>IFERROR(VLOOKUP(AE20,中介表!$A$1:$C$21,3,FALSE),"")</f>
        <v/>
      </c>
      <c r="AF60" s="126" t="str">
        <f>IFERROR(VLOOKUP(AF20,中介表!$A$1:$C$21,3,FALSE),"")</f>
        <v>混沌</v>
      </c>
      <c r="AG60" s="126" t="str">
        <f>IFERROR(VLOOKUP(AG20,中介表!$A$1:$C$21,3,FALSE),"")</f>
        <v>琴仙</v>
      </c>
      <c r="AH60" s="126" t="str">
        <f>IFERROR(VLOOKUP(AH20,中介表!$A$1:$C$21,3,FALSE),"")</f>
        <v/>
      </c>
      <c r="AI60" s="126" t="str">
        <f>IFERROR(VLOOKUP(AI20,中介表!$A$1:$C$21,3,FALSE),"")</f>
        <v/>
      </c>
      <c r="AJ60" s="126" t="str">
        <f>IFERROR(VLOOKUP(AJ20,中介表!$A$1:$C$21,3,FALSE),"")</f>
        <v/>
      </c>
      <c r="AK60" s="126" t="str">
        <f>IFERROR(VLOOKUP(AK20,中介表!$A$1:$C$21,3,FALSE),"")</f>
        <v/>
      </c>
      <c r="AL60" s="126" t="str">
        <f>IFERROR(VLOOKUP(AL20,中介表!$A$1:$C$21,3,FALSE),"")</f>
        <v/>
      </c>
      <c r="AM60" s="126" t="str">
        <f>IFERROR(VLOOKUP(AM20,中介表!$A$1:$C$21,3,FALSE),"")</f>
        <v/>
      </c>
      <c r="AN60" s="126" t="str">
        <f>IFERROR(VLOOKUP(AN20,中介表!$A$1:$C$21,3,FALSE),"")</f>
        <v/>
      </c>
      <c r="AO60" s="126" t="str">
        <f>IFERROR(VLOOKUP(AO20,中介表!$A$1:$C$21,3,FALSE),"")</f>
        <v/>
      </c>
      <c r="AP60" s="126" t="str">
        <f>IFERROR(VLOOKUP(AP20,中介表!$A$1:$C$21,3,FALSE),"")</f>
        <v/>
      </c>
      <c r="AQ60" s="126"/>
      <c r="AR60" s="40"/>
      <c r="AS60" s="40"/>
      <c r="AT60" s="40"/>
      <c r="AU60" s="40"/>
      <c r="AV60" s="40"/>
    </row>
    <row r="61" spans="1:48">
      <c r="A61" s="46" t="s">
        <v>32</v>
      </c>
      <c r="B61" s="10"/>
      <c r="C61" s="7" t="s">
        <v>18</v>
      </c>
      <c r="D61" s="33">
        <v>11</v>
      </c>
      <c r="E61" s="3" t="s">
        <v>60</v>
      </c>
      <c r="F61" s="33" t="str">
        <f>C61&amp;D61</f>
        <v>紫11</v>
      </c>
      <c r="G61" s="33" t="s">
        <v>65</v>
      </c>
      <c r="H61" s="143" t="s">
        <v>547</v>
      </c>
      <c r="I61" s="109" t="s">
        <v>139</v>
      </c>
      <c r="J61" s="140" t="s">
        <v>593</v>
      </c>
      <c r="K61" s="39" t="str">
        <f>IFERROR(VLOOKUP(I61,中介表!$A$1:$C$21,2,FALSE),"")</f>
        <v>王母娘娘</v>
      </c>
      <c r="L61" s="139" t="s">
        <v>614</v>
      </c>
      <c r="M61" s="39" t="str">
        <f>IFERROR(VLOOKUP(I61,中介表!$A$1:$C$21,3,FALSE),"")</f>
        <v>紫霞仙子</v>
      </c>
      <c r="N61" s="39"/>
      <c r="O61" s="39"/>
      <c r="P61" s="39"/>
      <c r="Q61" s="39"/>
      <c r="R61" s="39"/>
      <c r="T61" s="46" t="s">
        <v>32</v>
      </c>
      <c r="U61" s="40"/>
      <c r="V61" s="126" t="str">
        <f>IFERROR(VLOOKUP(V21,中介表!$A$1:$C$21,3,FALSE),"")</f>
        <v>白龙公主</v>
      </c>
      <c r="W61" s="126" t="str">
        <f>IFERROR(VLOOKUP(W21,中介表!$A$1:$C$21,3,FALSE),"")</f>
        <v>黑熊精</v>
      </c>
      <c r="X61" s="126" t="str">
        <f>IFERROR(VLOOKUP(X21,中介表!$A$1:$C$21,3,FALSE),"")</f>
        <v>地藏王</v>
      </c>
      <c r="Y61" s="126" t="str">
        <f>IFERROR(VLOOKUP(Y21,中介表!$A$1:$C$21,3,FALSE),"")</f>
        <v/>
      </c>
      <c r="Z61" s="126" t="str">
        <f>IFERROR(VLOOKUP(Z21,中介表!$A$1:$C$21,3,FALSE),"")</f>
        <v>琴仙</v>
      </c>
      <c r="AA61" s="126" t="str">
        <f>IFERROR(VLOOKUP(AA21,中介表!$A$1:$C$21,3,FALSE),"")</f>
        <v>混沌</v>
      </c>
      <c r="AB61" s="126" t="str">
        <f>IFERROR(VLOOKUP(AB21,中介表!$A$1:$C$21,3,FALSE),"")</f>
        <v>黑熊精</v>
      </c>
      <c r="AC61" s="126" t="str">
        <f>IFERROR(VLOOKUP(AC21,中介表!$A$1:$C$21,3,FALSE),"")</f>
        <v/>
      </c>
      <c r="AD61" s="126" t="str">
        <f>IFERROR(VLOOKUP(AD21,中介表!$A$1:$C$21,3,FALSE),"")</f>
        <v>琴仙</v>
      </c>
      <c r="AE61" s="126" t="str">
        <f>IFERROR(VLOOKUP(AE21,中介表!$A$1:$C$21,3,FALSE),"")</f>
        <v>黑熊精</v>
      </c>
      <c r="AF61" s="126" t="str">
        <f>IFERROR(VLOOKUP(AF21,中介表!$A$1:$C$21,3,FALSE),"")</f>
        <v/>
      </c>
      <c r="AG61" s="126" t="str">
        <f>IFERROR(VLOOKUP(AG21,中介表!$A$1:$C$21,3,FALSE),"")</f>
        <v>赛太岁</v>
      </c>
      <c r="AH61" s="126" t="str">
        <f>IFERROR(VLOOKUP(AH21,中介表!$A$1:$C$21,3,FALSE),"")</f>
        <v>黑熊精</v>
      </c>
      <c r="AI61" s="126" t="str">
        <f>IFERROR(VLOOKUP(AI21,中介表!$A$1:$C$21,3,FALSE),"")</f>
        <v/>
      </c>
      <c r="AJ61" s="126" t="str">
        <f>IFERROR(VLOOKUP(AJ21,中介表!$A$1:$C$21,3,FALSE),"")</f>
        <v/>
      </c>
      <c r="AK61" s="126" t="str">
        <f>IFERROR(VLOOKUP(AK21,中介表!$A$1:$C$21,3,FALSE),"")</f>
        <v/>
      </c>
      <c r="AL61" s="126" t="str">
        <f>IFERROR(VLOOKUP(AL21,中介表!$A$1:$C$21,3,FALSE),"")</f>
        <v/>
      </c>
      <c r="AM61" s="126" t="str">
        <f>IFERROR(VLOOKUP(AM21,中介表!$A$1:$C$21,3,FALSE),"")</f>
        <v/>
      </c>
      <c r="AN61" s="126" t="str">
        <f>IFERROR(VLOOKUP(AN21,中介表!$A$1:$C$21,3,FALSE),"")</f>
        <v/>
      </c>
      <c r="AO61" s="126" t="str">
        <f>IFERROR(VLOOKUP(AO21,中介表!$A$1:$C$21,3,FALSE),"")</f>
        <v/>
      </c>
      <c r="AP61" s="126" t="str">
        <f>IFERROR(VLOOKUP(AP21,中介表!$A$1:$C$21,3,FALSE),"")</f>
        <v/>
      </c>
      <c r="AQ61" s="126"/>
      <c r="AR61" s="40"/>
      <c r="AS61" s="40"/>
      <c r="AT61" s="40"/>
      <c r="AU61" s="40"/>
      <c r="AV61" s="40"/>
    </row>
    <row r="62" spans="1:48">
      <c r="H62" s="143"/>
      <c r="I62" s="109" t="s">
        <v>17</v>
      </c>
      <c r="J62" s="140"/>
      <c r="K62" s="39" t="str">
        <f>IFERROR(VLOOKUP(I62,中介表!$A$1:$C$21,2,FALSE),"")</f>
        <v>阎罗王</v>
      </c>
      <c r="L62" s="139"/>
      <c r="M62" s="39" t="str">
        <f>IFERROR(VLOOKUP(I62,中介表!$A$1:$C$21,3,FALSE),"")</f>
        <v>引魂仙子</v>
      </c>
      <c r="N62" s="39"/>
      <c r="O62" s="39"/>
      <c r="P62" s="39"/>
      <c r="Q62" s="39"/>
      <c r="R62" s="39"/>
      <c r="U62" s="40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40"/>
      <c r="AS62" s="40"/>
      <c r="AT62" s="40"/>
      <c r="AU62" s="40"/>
      <c r="AV62" s="40"/>
    </row>
    <row r="63" spans="1:48">
      <c r="I63" s="109"/>
      <c r="K63" s="39" t="str">
        <f>IFERROR(VLOOKUP(I63,中介表!$A$1:$C$21,2,FALSE),"")</f>
        <v/>
      </c>
      <c r="L63" s="39"/>
      <c r="M63" s="39" t="str">
        <f>IFERROR(VLOOKUP(I63,中介表!$A$1:$C$21,3,FALSE),"")</f>
        <v/>
      </c>
      <c r="N63" s="39"/>
      <c r="O63" s="39"/>
      <c r="P63" s="39"/>
      <c r="Q63" s="39"/>
      <c r="R63" s="39"/>
      <c r="U63" s="40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126"/>
      <c r="AI63" s="126"/>
      <c r="AJ63" s="126"/>
      <c r="AK63" s="126"/>
      <c r="AL63" s="126"/>
      <c r="AM63" s="126"/>
      <c r="AN63" s="126"/>
      <c r="AO63" s="126"/>
      <c r="AP63" s="126"/>
      <c r="AQ63" s="126"/>
      <c r="AR63" s="40"/>
      <c r="AS63" s="40"/>
      <c r="AT63" s="40"/>
      <c r="AU63" s="40"/>
      <c r="AV63" s="40"/>
    </row>
    <row r="64" spans="1:48">
      <c r="H64" s="143" t="s">
        <v>548</v>
      </c>
      <c r="I64" s="109" t="s">
        <v>91</v>
      </c>
      <c r="J64" s="140" t="s">
        <v>584</v>
      </c>
      <c r="K64" s="39" t="str">
        <f>IFERROR(VLOOKUP(I64,中介表!$A$1:$C$21,2,FALSE),"")</f>
        <v>白无常</v>
      </c>
      <c r="L64" s="139" t="s">
        <v>615</v>
      </c>
      <c r="M64" s="39" t="str">
        <f>IFERROR(VLOOKUP(I64,中介表!$A$1:$C$21,3,FALSE),"")</f>
        <v>龙帝</v>
      </c>
      <c r="N64" s="39"/>
      <c r="O64" s="39"/>
      <c r="P64" s="39"/>
      <c r="Q64" s="39"/>
      <c r="R64" s="39"/>
    </row>
    <row r="65" spans="8:18">
      <c r="H65" s="143"/>
      <c r="I65" s="109" t="s">
        <v>17</v>
      </c>
      <c r="J65" s="140"/>
      <c r="K65" s="39" t="str">
        <f>IFERROR(VLOOKUP(I65,中介表!$A$1:$C$21,2,FALSE),"")</f>
        <v>阎罗王</v>
      </c>
      <c r="L65" s="139"/>
      <c r="M65" s="39" t="str">
        <f>IFERROR(VLOOKUP(I65,中介表!$A$1:$C$21,3,FALSE),"")</f>
        <v>引魂仙子</v>
      </c>
      <c r="N65" s="39"/>
      <c r="O65" s="39"/>
      <c r="P65" s="39"/>
      <c r="Q65" s="39"/>
      <c r="R65" s="39"/>
    </row>
    <row r="66" spans="8:18">
      <c r="I66" s="109"/>
      <c r="K66" s="39" t="str">
        <f>IFERROR(VLOOKUP(I66,中介表!$A$1:$C$21,2,FALSE),"")</f>
        <v/>
      </c>
      <c r="L66" s="39"/>
      <c r="M66" s="39" t="str">
        <f>IFERROR(VLOOKUP(I66,中介表!$A$1:$C$21,3,FALSE),"")</f>
        <v/>
      </c>
      <c r="N66" s="39"/>
      <c r="O66" s="39"/>
      <c r="P66" s="39"/>
      <c r="Q66" s="39"/>
      <c r="R66" s="39"/>
    </row>
    <row r="67" spans="8:18">
      <c r="H67" s="143" t="s">
        <v>560</v>
      </c>
      <c r="I67" s="109" t="s">
        <v>96</v>
      </c>
      <c r="J67" s="140" t="s">
        <v>583</v>
      </c>
      <c r="K67" s="39" t="str">
        <f>IFERROR(VLOOKUP(I67,中介表!$A$1:$C$21,2,FALSE),"")</f>
        <v>二郎神</v>
      </c>
      <c r="L67" s="139" t="s">
        <v>620</v>
      </c>
      <c r="M67" s="39" t="str">
        <f>IFERROR(VLOOKUP(I67,中介表!$A$1:$C$21,3,FALSE),"")</f>
        <v>斗战胜佛</v>
      </c>
      <c r="N67" s="39"/>
      <c r="O67" s="39"/>
      <c r="P67" s="39"/>
      <c r="Q67" s="39"/>
      <c r="R67" s="39"/>
    </row>
    <row r="68" spans="8:18">
      <c r="H68" s="143"/>
      <c r="I68" s="109" t="s">
        <v>141</v>
      </c>
      <c r="J68" s="140"/>
      <c r="K68" s="39" t="str">
        <f>IFERROR(VLOOKUP(I68,中介表!$A$1:$C$21,2,FALSE),"")</f>
        <v>小白龙</v>
      </c>
      <c r="L68" s="139"/>
      <c r="M68" s="39" t="str">
        <f>IFERROR(VLOOKUP(I68,中介表!$A$1:$C$21,3,FALSE),"")</f>
        <v>人参娃</v>
      </c>
      <c r="N68" s="39"/>
      <c r="O68" s="39"/>
      <c r="P68" s="39"/>
      <c r="Q68" s="39"/>
      <c r="R68" s="39"/>
    </row>
    <row r="69" spans="8:18">
      <c r="I69" s="109"/>
      <c r="K69" s="39" t="str">
        <f>IFERROR(VLOOKUP(I69,中介表!$A$1:$C$21,2,FALSE),"")</f>
        <v/>
      </c>
      <c r="L69" s="39"/>
      <c r="M69" s="39" t="str">
        <f>IFERROR(VLOOKUP(I69,中介表!$A$1:$C$21,3,FALSE),"")</f>
        <v/>
      </c>
      <c r="N69" s="39"/>
      <c r="O69" s="39"/>
      <c r="P69" s="39"/>
      <c r="Q69" s="39"/>
      <c r="R69" s="39"/>
    </row>
    <row r="70" spans="8:18">
      <c r="H70" s="143" t="s">
        <v>542</v>
      </c>
      <c r="I70" s="109" t="s">
        <v>137</v>
      </c>
      <c r="J70" s="140" t="s">
        <v>573</v>
      </c>
      <c r="K70" s="39" t="str">
        <f>IFERROR(VLOOKUP(I70,中介表!$A$1:$C$21,2,FALSE),"")</f>
        <v>哪吒</v>
      </c>
      <c r="L70" s="139" t="s">
        <v>621</v>
      </c>
      <c r="M70" s="39" t="str">
        <f>IFERROR(VLOOKUP(I70,中介表!$A$1:$C$21,3,FALSE),"")</f>
        <v>八部天龙</v>
      </c>
      <c r="N70" s="39"/>
      <c r="O70" s="39"/>
      <c r="P70" s="39"/>
      <c r="Q70" s="39"/>
      <c r="R70" s="39"/>
    </row>
    <row r="71" spans="8:18">
      <c r="H71" s="143"/>
      <c r="I71" s="109" t="s">
        <v>141</v>
      </c>
      <c r="J71" s="140"/>
      <c r="K71" s="39" t="str">
        <f>IFERROR(VLOOKUP(I71,中介表!$A$1:$C$21,2,FALSE),"")</f>
        <v>小白龙</v>
      </c>
      <c r="L71" s="139"/>
      <c r="M71" s="39" t="str">
        <f>IFERROR(VLOOKUP(I71,中介表!$A$1:$C$21,3,FALSE),"")</f>
        <v>人参娃</v>
      </c>
      <c r="N71" s="39"/>
      <c r="O71" s="39"/>
      <c r="P71" s="39"/>
      <c r="Q71" s="39"/>
      <c r="R71" s="39"/>
    </row>
    <row r="72" spans="8:18">
      <c r="I72" s="109"/>
      <c r="K72" s="39" t="str">
        <f>IFERROR(VLOOKUP(I72,中介表!$A$1:$C$21,2,FALSE),"")</f>
        <v/>
      </c>
      <c r="L72" s="39"/>
      <c r="M72" s="39" t="str">
        <f>IFERROR(VLOOKUP(I72,中介表!$A$1:$C$21,3,FALSE),"")</f>
        <v/>
      </c>
      <c r="N72" s="39"/>
      <c r="O72" s="39"/>
      <c r="P72" s="39"/>
      <c r="Q72" s="39"/>
      <c r="R72" s="39"/>
    </row>
    <row r="73" spans="8:18">
      <c r="H73" s="143" t="s">
        <v>559</v>
      </c>
      <c r="I73" s="109" t="s">
        <v>139</v>
      </c>
      <c r="J73" s="140" t="s">
        <v>585</v>
      </c>
      <c r="K73" s="39" t="str">
        <f>IFERROR(VLOOKUP(I73,中介表!$A$1:$C$21,2,FALSE),"")</f>
        <v>王母娘娘</v>
      </c>
      <c r="L73" s="139" t="s">
        <v>622</v>
      </c>
      <c r="M73" s="39" t="str">
        <f>IFERROR(VLOOKUP(I73,中介表!$A$1:$C$21,3,FALSE),"")</f>
        <v>紫霞仙子</v>
      </c>
      <c r="N73" s="39"/>
      <c r="O73" s="39"/>
      <c r="P73" s="39"/>
      <c r="Q73" s="39"/>
      <c r="R73" s="39"/>
    </row>
    <row r="74" spans="8:18">
      <c r="H74" s="143"/>
      <c r="I74" s="109" t="s">
        <v>143</v>
      </c>
      <c r="J74" s="140"/>
      <c r="K74" s="39" t="str">
        <f>IFERROR(VLOOKUP(I74,中介表!$A$1:$C$21,2,FALSE),"")</f>
        <v>太白金星</v>
      </c>
      <c r="L74" s="139"/>
      <c r="M74" s="39" t="str">
        <f>IFERROR(VLOOKUP(I74,中介表!$A$1:$C$21,3,FALSE),"")</f>
        <v>女儿国国王</v>
      </c>
      <c r="N74" s="39"/>
      <c r="O74" s="39"/>
      <c r="P74" s="39"/>
      <c r="Q74" s="39"/>
      <c r="R74" s="39"/>
    </row>
    <row r="75" spans="8:18">
      <c r="I75" s="109"/>
      <c r="K75" s="39" t="str">
        <f>IFERROR(VLOOKUP(I75,中介表!$A$1:$C$21,2,FALSE),"")</f>
        <v/>
      </c>
      <c r="L75" s="39"/>
      <c r="M75" s="39" t="str">
        <f>IFERROR(VLOOKUP(I75,中介表!$A$1:$C$21,3,FALSE),"")</f>
        <v/>
      </c>
      <c r="N75" s="39"/>
      <c r="O75" s="39"/>
      <c r="P75" s="39"/>
      <c r="Q75" s="39"/>
      <c r="R75" s="39"/>
    </row>
    <row r="76" spans="8:18">
      <c r="H76" s="143" t="s">
        <v>549</v>
      </c>
      <c r="I76" s="109" t="s">
        <v>91</v>
      </c>
      <c r="J76" s="140" t="s">
        <v>586</v>
      </c>
      <c r="K76" s="39" t="str">
        <f>IFERROR(VLOOKUP(I76,中介表!$A$1:$C$21,2,FALSE),"")</f>
        <v>白无常</v>
      </c>
      <c r="L76" s="139" t="s">
        <v>617</v>
      </c>
      <c r="M76" s="39" t="str">
        <f>IFERROR(VLOOKUP(I76,中介表!$A$1:$C$21,3,FALSE),"")</f>
        <v>龙帝</v>
      </c>
      <c r="N76" s="39"/>
      <c r="O76" s="39"/>
      <c r="P76" s="39"/>
      <c r="Q76" s="39"/>
      <c r="R76" s="39"/>
    </row>
    <row r="77" spans="8:18">
      <c r="H77" s="143"/>
      <c r="I77" s="109" t="s">
        <v>143</v>
      </c>
      <c r="J77" s="140"/>
      <c r="K77" s="39" t="str">
        <f>IFERROR(VLOOKUP(I77,中介表!$A$1:$C$21,2,FALSE),"")</f>
        <v>太白金星</v>
      </c>
      <c r="L77" s="139"/>
      <c r="M77" s="39" t="str">
        <f>IFERROR(VLOOKUP(I77,中介表!$A$1:$C$21,3,FALSE),"")</f>
        <v>女儿国国王</v>
      </c>
      <c r="N77" s="39"/>
      <c r="O77" s="39"/>
      <c r="P77" s="39"/>
      <c r="Q77" s="39"/>
      <c r="R77" s="39"/>
    </row>
    <row r="78" spans="8:18">
      <c r="I78" s="109"/>
      <c r="K78" s="39" t="str">
        <f>IFERROR(VLOOKUP(I78,中介表!$A$1:$C$21,2,FALSE),"")</f>
        <v/>
      </c>
      <c r="L78" s="39"/>
      <c r="M78" s="39" t="str">
        <f>IFERROR(VLOOKUP(I78,中介表!$A$1:$C$21,3,FALSE),"")</f>
        <v/>
      </c>
      <c r="N78" s="39"/>
      <c r="O78" s="39"/>
      <c r="P78" s="39"/>
      <c r="Q78" s="39"/>
      <c r="R78" s="39"/>
    </row>
    <row r="79" spans="8:18">
      <c r="H79" s="143" t="s">
        <v>550</v>
      </c>
      <c r="I79" s="109" t="s">
        <v>96</v>
      </c>
      <c r="J79" s="140" t="s">
        <v>577</v>
      </c>
      <c r="K79" s="39" t="str">
        <f>IFERROR(VLOOKUP(I79,中介表!$A$1:$C$21,2,FALSE),"")</f>
        <v>二郎神</v>
      </c>
      <c r="L79" s="139" t="s">
        <v>626</v>
      </c>
      <c r="M79" s="39" t="str">
        <f>IFERROR(VLOOKUP(I79,中介表!$A$1:$C$21,3,FALSE),"")</f>
        <v>斗战胜佛</v>
      </c>
      <c r="N79" s="39"/>
      <c r="O79" s="39"/>
      <c r="P79" s="39"/>
      <c r="Q79" s="39"/>
      <c r="R79" s="39"/>
    </row>
    <row r="80" spans="8:18">
      <c r="H80" s="143"/>
      <c r="I80" s="109" t="s">
        <v>24</v>
      </c>
      <c r="J80" s="140"/>
      <c r="K80" s="39" t="str">
        <f>IFERROR(VLOOKUP(I80,中介表!$A$1:$C$21,2,FALSE),"")</f>
        <v>赤脚大仙</v>
      </c>
      <c r="L80" s="139"/>
      <c r="M80" s="39" t="str">
        <f>IFERROR(VLOOKUP(I80,中介表!$A$1:$C$21,3,FALSE),"")</f>
        <v>唐三藏</v>
      </c>
      <c r="N80" s="39"/>
      <c r="O80" s="39"/>
      <c r="P80" s="39"/>
      <c r="Q80" s="39"/>
      <c r="R80" s="39"/>
    </row>
    <row r="81" spans="8:18">
      <c r="I81" s="109"/>
      <c r="K81" s="39" t="str">
        <f>IFERROR(VLOOKUP(I81,中介表!$A$1:$C$21,2,FALSE),"")</f>
        <v/>
      </c>
      <c r="L81" s="39"/>
      <c r="M81" s="39" t="str">
        <f>IFERROR(VLOOKUP(I81,中介表!$A$1:$C$21,3,FALSE),"")</f>
        <v/>
      </c>
      <c r="N81" s="39"/>
      <c r="O81" s="39"/>
      <c r="P81" s="39"/>
      <c r="Q81" s="39"/>
      <c r="R81" s="39"/>
    </row>
    <row r="82" spans="8:18">
      <c r="H82" s="143" t="s">
        <v>558</v>
      </c>
      <c r="I82" s="109" t="s">
        <v>139</v>
      </c>
      <c r="J82" s="140" t="s">
        <v>587</v>
      </c>
      <c r="K82" s="39" t="str">
        <f>IFERROR(VLOOKUP(I82,中介表!$A$1:$C$21,2,FALSE),"")</f>
        <v>王母娘娘</v>
      </c>
      <c r="L82" s="139" t="s">
        <v>627</v>
      </c>
      <c r="M82" s="39" t="str">
        <f>IFERROR(VLOOKUP(I82,中介表!$A$1:$C$21,3,FALSE),"")</f>
        <v>紫霞仙子</v>
      </c>
      <c r="N82" s="39"/>
      <c r="O82" s="39"/>
      <c r="P82" s="39"/>
      <c r="Q82" s="39"/>
      <c r="R82" s="39"/>
    </row>
    <row r="83" spans="8:18">
      <c r="H83" s="143"/>
      <c r="I83" s="109" t="s">
        <v>142</v>
      </c>
      <c r="J83" s="140"/>
      <c r="K83" s="39" t="str">
        <f>IFERROR(VLOOKUP(I83,中介表!$A$1:$C$21,2,FALSE),"")</f>
        <v>东海龙王</v>
      </c>
      <c r="L83" s="139"/>
      <c r="M83" s="39" t="str">
        <f>IFERROR(VLOOKUP(I83,中介表!$A$1:$C$21,3,FALSE),"")</f>
        <v>迦叶</v>
      </c>
      <c r="N83" s="39"/>
      <c r="O83" s="39"/>
      <c r="P83" s="39"/>
      <c r="Q83" s="39"/>
      <c r="R83" s="39"/>
    </row>
    <row r="84" spans="8:18">
      <c r="I84" s="109"/>
      <c r="K84" s="39" t="str">
        <f>IFERROR(VLOOKUP(I84,中介表!$A$1:$C$21,2,FALSE),"")</f>
        <v/>
      </c>
      <c r="L84" s="39"/>
      <c r="M84" s="39" t="str">
        <f>IFERROR(VLOOKUP(I84,中介表!$A$1:$C$21,3,FALSE),"")</f>
        <v/>
      </c>
      <c r="N84" s="39"/>
      <c r="O84" s="39"/>
      <c r="P84" s="39"/>
      <c r="Q84" s="39"/>
      <c r="R84" s="39"/>
    </row>
    <row r="85" spans="8:18">
      <c r="H85" s="143" t="s">
        <v>825</v>
      </c>
      <c r="I85" s="109" t="s">
        <v>137</v>
      </c>
      <c r="J85" s="140" t="s">
        <v>578</v>
      </c>
      <c r="K85" s="39" t="str">
        <f>IFERROR(VLOOKUP(I85,中介表!$A$1:$C$21,2,FALSE),"")</f>
        <v>哪吒</v>
      </c>
      <c r="L85" s="139" t="s">
        <v>628</v>
      </c>
      <c r="M85" s="39" t="str">
        <f>IFERROR(VLOOKUP(I85,中介表!$A$1:$C$21,3,FALSE),"")</f>
        <v>八部天龙</v>
      </c>
      <c r="N85" s="39"/>
      <c r="O85" s="39"/>
      <c r="P85" s="39"/>
      <c r="Q85" s="39"/>
      <c r="R85" s="39"/>
    </row>
    <row r="86" spans="8:18">
      <c r="H86" s="143"/>
      <c r="I86" s="109" t="s">
        <v>143</v>
      </c>
      <c r="J86" s="140"/>
      <c r="K86" s="39" t="str">
        <f>IFERROR(VLOOKUP(I86,中介表!$A$1:$C$21,2,FALSE),"")</f>
        <v>太白金星</v>
      </c>
      <c r="L86" s="139"/>
      <c r="M86" s="39" t="str">
        <f>IFERROR(VLOOKUP(I86,中介表!$A$1:$C$21,3,FALSE),"")</f>
        <v>女儿国国王</v>
      </c>
      <c r="N86" s="39"/>
      <c r="O86" s="39"/>
      <c r="P86" s="39"/>
      <c r="Q86" s="39"/>
      <c r="R86" s="39"/>
    </row>
    <row r="87" spans="8:18">
      <c r="I87" s="109"/>
      <c r="K87" s="39" t="str">
        <f>IFERROR(VLOOKUP(I87,中介表!$A$1:$C$21,2,FALSE),"")</f>
        <v/>
      </c>
      <c r="L87" s="39"/>
      <c r="M87" s="39" t="str">
        <f>IFERROR(VLOOKUP(I87,中介表!$A$1:$C$21,3,FALSE),"")</f>
        <v/>
      </c>
      <c r="N87" s="39"/>
      <c r="O87" s="39"/>
      <c r="P87" s="39"/>
      <c r="Q87" s="39"/>
      <c r="R87" s="39"/>
    </row>
    <row r="88" spans="8:18">
      <c r="H88" s="143" t="s">
        <v>829</v>
      </c>
      <c r="I88" s="109" t="s">
        <v>91</v>
      </c>
      <c r="J88" s="140" t="s">
        <v>588</v>
      </c>
      <c r="K88" s="39" t="str">
        <f>IFERROR(VLOOKUP(I88,中介表!$A$1:$C$21,2,FALSE),"")</f>
        <v>白无常</v>
      </c>
      <c r="L88" s="139" t="s">
        <v>629</v>
      </c>
      <c r="M88" s="39" t="str">
        <f>IFERROR(VLOOKUP(I88,中介表!$A$1:$C$21,3,FALSE),"")</f>
        <v>龙帝</v>
      </c>
      <c r="N88" s="39"/>
      <c r="O88" s="39"/>
      <c r="P88" s="39"/>
      <c r="Q88" s="39"/>
      <c r="R88" s="39"/>
    </row>
    <row r="89" spans="8:18">
      <c r="H89" s="143"/>
      <c r="I89" s="109" t="s">
        <v>152</v>
      </c>
      <c r="J89" s="140"/>
      <c r="K89" s="39" t="str">
        <f>IFERROR(VLOOKUP(I89,中介表!$A$1:$C$21,2,FALSE),"")</f>
        <v>玉皇大帝</v>
      </c>
      <c r="L89" s="139"/>
      <c r="M89" s="39" t="str">
        <f>IFERROR(VLOOKUP(I89,中介表!$A$1:$C$21,3,FALSE),"")</f>
        <v>红孩儿</v>
      </c>
      <c r="N89" s="39"/>
      <c r="O89" s="39"/>
      <c r="P89" s="39"/>
      <c r="Q89" s="39"/>
      <c r="R89" s="39"/>
    </row>
    <row r="90" spans="8:18">
      <c r="I90" s="109"/>
      <c r="K90" s="39" t="str">
        <f>IFERROR(VLOOKUP(I90,中介表!$A$1:$C$21,2,FALSE),"")</f>
        <v/>
      </c>
      <c r="L90" s="39"/>
      <c r="M90" s="39" t="str">
        <f>IFERROR(VLOOKUP(I90,中介表!$A$1:$C$21,3,FALSE),"")</f>
        <v/>
      </c>
      <c r="N90" s="39"/>
      <c r="O90" s="39"/>
      <c r="P90" s="39"/>
      <c r="Q90" s="39"/>
      <c r="R90" s="39"/>
    </row>
    <row r="91" spans="8:18">
      <c r="H91" s="143" t="s">
        <v>827</v>
      </c>
      <c r="I91" s="109" t="s">
        <v>17</v>
      </c>
      <c r="J91" s="140" t="s">
        <v>589</v>
      </c>
      <c r="K91" s="39" t="str">
        <f>IFERROR(VLOOKUP(I91,中介表!$A$1:$C$21,2,FALSE),"")</f>
        <v>阎罗王</v>
      </c>
      <c r="L91" s="139" t="s">
        <v>624</v>
      </c>
      <c r="M91" s="39" t="str">
        <f>IFERROR(VLOOKUP(I91,中介表!$A$1:$C$21,3,FALSE),"")</f>
        <v>引魂仙子</v>
      </c>
      <c r="N91" s="39"/>
      <c r="O91" s="39"/>
      <c r="P91" s="39"/>
      <c r="Q91" s="39"/>
      <c r="R91" s="39"/>
    </row>
    <row r="92" spans="8:18">
      <c r="H92" s="143"/>
      <c r="I92" s="109" t="s">
        <v>141</v>
      </c>
      <c r="J92" s="140"/>
      <c r="K92" s="39" t="str">
        <f>IFERROR(VLOOKUP(I92,中介表!$A$1:$C$21,2,FALSE),"")</f>
        <v>小白龙</v>
      </c>
      <c r="L92" s="139"/>
      <c r="M92" s="39" t="str">
        <f>IFERROR(VLOOKUP(I92,中介表!$A$1:$C$21,3,FALSE),"")</f>
        <v>人参娃</v>
      </c>
      <c r="N92" s="39"/>
      <c r="O92" s="39"/>
      <c r="P92" s="39"/>
      <c r="Q92" s="39"/>
      <c r="R92" s="39"/>
    </row>
    <row r="93" spans="8:18">
      <c r="I93" s="109"/>
      <c r="K93" s="39" t="str">
        <f>IFERROR(VLOOKUP(I93,中介表!$A$1:$C$21,2,FALSE),"")</f>
        <v/>
      </c>
      <c r="L93" s="39"/>
      <c r="M93" s="39" t="str">
        <f>IFERROR(VLOOKUP(I93,中介表!$A$1:$C$21,3,FALSE),"")</f>
        <v/>
      </c>
      <c r="N93" s="39"/>
      <c r="O93" s="39"/>
      <c r="P93" s="39"/>
      <c r="Q93" s="39"/>
      <c r="R93" s="39"/>
    </row>
    <row r="94" spans="8:18">
      <c r="H94" s="143" t="s">
        <v>835</v>
      </c>
      <c r="I94" s="52" t="s">
        <v>45</v>
      </c>
      <c r="J94" s="140" t="s">
        <v>836</v>
      </c>
      <c r="K94" s="34" t="str">
        <f>IFERROR(VLOOKUP(I94,中介表!$A$1:$C$21,2,FALSE),"")</f>
        <v>嫦娥</v>
      </c>
      <c r="L94" s="141" t="s">
        <v>837</v>
      </c>
      <c r="M94" s="34" t="str">
        <f>IFERROR(VLOOKUP(I94,中介表!$A$1:$C$21,3,FALSE),"")</f>
        <v>观世音</v>
      </c>
      <c r="N94" s="39"/>
      <c r="O94" s="39"/>
      <c r="P94" s="39"/>
      <c r="Q94" s="39"/>
      <c r="R94" s="39"/>
    </row>
    <row r="95" spans="8:18">
      <c r="H95" s="143"/>
      <c r="I95" s="53" t="s">
        <v>140</v>
      </c>
      <c r="J95" s="140"/>
      <c r="K95" s="34" t="str">
        <f>IFERROR(VLOOKUP(I95,中介表!$A$1:$C$21,2,FALSE),"")</f>
        <v>九天玄女</v>
      </c>
      <c r="L95" s="141"/>
      <c r="M95" s="34" t="str">
        <f>IFERROR(VLOOKUP(I95,中介表!$A$1:$C$21,3,FALSE),"")</f>
        <v>文殊菩萨</v>
      </c>
      <c r="N95" s="39"/>
      <c r="O95" s="39"/>
      <c r="P95" s="39"/>
      <c r="Q95" s="39"/>
      <c r="R95" s="39"/>
    </row>
    <row r="96" spans="8:18">
      <c r="H96" s="121"/>
      <c r="I96" s="121"/>
      <c r="J96" s="121"/>
      <c r="K96" s="34"/>
      <c r="L96" s="122"/>
      <c r="M96" s="34"/>
      <c r="N96" s="121"/>
      <c r="O96" s="121"/>
      <c r="P96" s="121"/>
      <c r="Q96" s="121"/>
      <c r="R96" s="121"/>
    </row>
    <row r="97" spans="8:18">
      <c r="H97" s="143" t="s">
        <v>816</v>
      </c>
      <c r="I97" s="109" t="s">
        <v>24</v>
      </c>
      <c r="J97" s="140" t="s">
        <v>579</v>
      </c>
      <c r="K97" s="39" t="str">
        <f>IFERROR(VLOOKUP(I97,中介表!$A$1:$C$21,2,FALSE),"")</f>
        <v>赤脚大仙</v>
      </c>
      <c r="L97" s="139" t="s">
        <v>630</v>
      </c>
      <c r="M97" s="39" t="str">
        <f>IFERROR(VLOOKUP(I97,中介表!$A$1:$C$21,3,FALSE),"")</f>
        <v>唐三藏</v>
      </c>
      <c r="N97" s="39"/>
      <c r="O97" s="39"/>
      <c r="P97" s="39"/>
      <c r="Q97" s="39"/>
      <c r="R97" s="39"/>
    </row>
    <row r="98" spans="8:18">
      <c r="H98" s="143"/>
      <c r="I98" s="109" t="s">
        <v>142</v>
      </c>
      <c r="J98" s="140"/>
      <c r="K98" s="39" t="str">
        <f>IFERROR(VLOOKUP(I98,中介表!$A$1:$C$21,2,FALSE),"")</f>
        <v>东海龙王</v>
      </c>
      <c r="L98" s="139"/>
      <c r="M98" s="39" t="str">
        <f>IFERROR(VLOOKUP(I98,中介表!$A$1:$C$21,3,FALSE),"")</f>
        <v>迦叶</v>
      </c>
      <c r="N98" s="39"/>
      <c r="O98" s="39"/>
      <c r="P98" s="39"/>
      <c r="Q98" s="39"/>
      <c r="R98" s="39"/>
    </row>
    <row r="99" spans="8:18">
      <c r="H99" s="143"/>
      <c r="I99" s="109" t="s">
        <v>143</v>
      </c>
      <c r="J99" s="140"/>
      <c r="K99" s="39" t="str">
        <f>IFERROR(VLOOKUP(I99,中介表!$A$1:$C$21,2,FALSE),"")</f>
        <v>太白金星</v>
      </c>
      <c r="L99" s="139"/>
      <c r="M99" s="39" t="str">
        <f>IFERROR(VLOOKUP(I99,中介表!$A$1:$C$21,3,FALSE),"")</f>
        <v>女儿国国王</v>
      </c>
      <c r="N99" s="39"/>
      <c r="O99" s="39"/>
      <c r="P99" s="39"/>
      <c r="Q99" s="39"/>
      <c r="R99" s="39"/>
    </row>
    <row r="100" spans="8:18">
      <c r="I100" s="109"/>
      <c r="K100" s="39" t="str">
        <f>IFERROR(VLOOKUP(I100,中介表!$A$1:$C$21,2,FALSE),"")</f>
        <v/>
      </c>
      <c r="L100" s="39"/>
      <c r="M100" s="39" t="str">
        <f>IFERROR(VLOOKUP(I100,中介表!$A$1:$C$21,3,FALSE),"")</f>
        <v/>
      </c>
      <c r="N100" s="39"/>
      <c r="O100" s="39"/>
      <c r="P100" s="39"/>
      <c r="Q100" s="39"/>
      <c r="R100" s="39"/>
    </row>
    <row r="101" spans="8:18">
      <c r="H101" s="143" t="s">
        <v>818</v>
      </c>
      <c r="I101" s="109" t="s">
        <v>152</v>
      </c>
      <c r="J101" s="140" t="s">
        <v>590</v>
      </c>
      <c r="K101" s="39" t="str">
        <f>IFERROR(VLOOKUP(I101,中介表!$A$1:$C$21,2,FALSE),"")</f>
        <v>玉皇大帝</v>
      </c>
      <c r="L101" s="139" t="s">
        <v>623</v>
      </c>
      <c r="M101" s="39" t="str">
        <f>IFERROR(VLOOKUP(I101,中介表!$A$1:$C$21,3,FALSE),"")</f>
        <v>红孩儿</v>
      </c>
      <c r="N101" s="39"/>
      <c r="O101" s="39"/>
      <c r="P101" s="39"/>
      <c r="Q101" s="39"/>
      <c r="R101" s="39"/>
    </row>
    <row r="102" spans="8:18">
      <c r="H102" s="143"/>
      <c r="I102" s="109" t="s">
        <v>17</v>
      </c>
      <c r="J102" s="140"/>
      <c r="K102" s="39" t="str">
        <f>IFERROR(VLOOKUP(I102,中介表!$A$1:$C$21,2,FALSE),"")</f>
        <v>阎罗王</v>
      </c>
      <c r="L102" s="139"/>
      <c r="M102" s="39" t="str">
        <f>IFERROR(VLOOKUP(I102,中介表!$A$1:$C$21,3,FALSE),"")</f>
        <v>引魂仙子</v>
      </c>
      <c r="N102" s="39"/>
      <c r="O102" s="39"/>
      <c r="P102" s="39"/>
      <c r="Q102" s="39"/>
      <c r="R102" s="39"/>
    </row>
    <row r="103" spans="8:18">
      <c r="H103" s="143"/>
      <c r="I103" s="109" t="s">
        <v>143</v>
      </c>
      <c r="J103" s="140"/>
      <c r="K103" s="39" t="str">
        <f>IFERROR(VLOOKUP(I103,中介表!$A$1:$C$21,2,FALSE),"")</f>
        <v>太白金星</v>
      </c>
      <c r="L103" s="139"/>
      <c r="M103" s="39" t="str">
        <f>IFERROR(VLOOKUP(I103,中介表!$A$1:$C$21,3,FALSE),"")</f>
        <v>女儿国国王</v>
      </c>
      <c r="N103" s="39"/>
      <c r="O103" s="39"/>
      <c r="P103" s="39"/>
      <c r="Q103" s="39"/>
      <c r="R103" s="39"/>
    </row>
    <row r="104" spans="8:18">
      <c r="I104" s="109"/>
      <c r="K104" s="39" t="str">
        <f>IFERROR(VLOOKUP(I104,中介表!$A$1:$C$21,2,FALSE),"")</f>
        <v/>
      </c>
      <c r="L104" s="39"/>
      <c r="M104" s="39" t="str">
        <f>IFERROR(VLOOKUP(I104,中介表!$A$1:$C$21,3,FALSE),"")</f>
        <v/>
      </c>
      <c r="N104" s="39"/>
      <c r="O104" s="39"/>
      <c r="P104" s="39"/>
      <c r="Q104" s="39"/>
      <c r="R104" s="39"/>
    </row>
    <row r="105" spans="8:18">
      <c r="H105" s="143" t="s">
        <v>820</v>
      </c>
      <c r="I105" s="109" t="s">
        <v>142</v>
      </c>
      <c r="J105" s="140" t="s">
        <v>580</v>
      </c>
      <c r="K105" s="39" t="str">
        <f>IFERROR(VLOOKUP(I105,中介表!$A$1:$C$21,2,FALSE),"")</f>
        <v>东海龙王</v>
      </c>
      <c r="L105" s="139" t="s">
        <v>625</v>
      </c>
      <c r="M105" s="39" t="str">
        <f>IFERROR(VLOOKUP(I105,中介表!$A$1:$C$21,3,FALSE),"")</f>
        <v>迦叶</v>
      </c>
      <c r="N105" s="39"/>
      <c r="O105" s="39"/>
      <c r="P105" s="39"/>
      <c r="Q105" s="39"/>
      <c r="R105" s="39"/>
    </row>
    <row r="106" spans="8:18">
      <c r="H106" s="143"/>
      <c r="I106" s="109" t="s">
        <v>141</v>
      </c>
      <c r="J106" s="140"/>
      <c r="K106" s="39" t="str">
        <f>IFERROR(VLOOKUP(I106,中介表!$A$1:$C$21,2,FALSE),"")</f>
        <v>小白龙</v>
      </c>
      <c r="L106" s="139"/>
      <c r="M106" s="39" t="str">
        <f>IFERROR(VLOOKUP(I106,中介表!$A$1:$C$21,3,FALSE),"")</f>
        <v>人参娃</v>
      </c>
      <c r="N106" s="39"/>
      <c r="O106" s="39"/>
      <c r="P106" s="39"/>
      <c r="Q106" s="39"/>
      <c r="R106" s="39"/>
    </row>
    <row r="107" spans="8:18">
      <c r="H107" s="143"/>
      <c r="I107" s="109" t="s">
        <v>152</v>
      </c>
      <c r="J107" s="140"/>
      <c r="K107" s="39" t="str">
        <f>IFERROR(VLOOKUP(I107,中介表!$A$1:$C$21,2,FALSE),"")</f>
        <v>玉皇大帝</v>
      </c>
      <c r="L107" s="139"/>
      <c r="M107" s="39" t="str">
        <f>IFERROR(VLOOKUP(I107,中介表!$A$1:$C$21,3,FALSE),"")</f>
        <v>红孩儿</v>
      </c>
      <c r="N107" s="39"/>
      <c r="O107" s="39"/>
      <c r="P107" s="39"/>
      <c r="Q107" s="39"/>
      <c r="R107" s="39"/>
    </row>
    <row r="108" spans="8:18">
      <c r="I108" s="109"/>
      <c r="K108" s="39" t="str">
        <f>IFERROR(VLOOKUP(I108,中介表!$A$1:$C$21,2,FALSE),"")</f>
        <v/>
      </c>
      <c r="L108" s="39"/>
      <c r="M108" s="39" t="str">
        <f>IFERROR(VLOOKUP(I108,中介表!$A$1:$C$21,3,FALSE),"")</f>
        <v/>
      </c>
      <c r="N108" s="39"/>
      <c r="O108" s="39"/>
      <c r="P108" s="39"/>
      <c r="Q108" s="39"/>
      <c r="R108" s="39"/>
    </row>
    <row r="109" spans="8:18">
      <c r="H109" s="143" t="s">
        <v>822</v>
      </c>
      <c r="I109" s="109" t="s">
        <v>24</v>
      </c>
      <c r="J109" s="140" t="s">
        <v>591</v>
      </c>
      <c r="K109" s="39" t="str">
        <f>IFERROR(VLOOKUP(I109,中介表!$A$1:$C$21,2,FALSE),"")</f>
        <v>赤脚大仙</v>
      </c>
      <c r="L109" s="139" t="s">
        <v>616</v>
      </c>
      <c r="M109" s="39" t="str">
        <f>IFERROR(VLOOKUP(I109,中介表!$A$1:$C$21,3,FALSE),"")</f>
        <v>唐三藏</v>
      </c>
      <c r="N109" s="39"/>
      <c r="O109" s="39"/>
      <c r="P109" s="39"/>
      <c r="Q109" s="39"/>
      <c r="R109" s="39"/>
    </row>
    <row r="110" spans="8:18">
      <c r="H110" s="143"/>
      <c r="I110" s="109" t="s">
        <v>17</v>
      </c>
      <c r="J110" s="140"/>
      <c r="K110" s="39" t="str">
        <f>IFERROR(VLOOKUP(I110,中介表!$A$1:$C$21,2,FALSE),"")</f>
        <v>阎罗王</v>
      </c>
      <c r="L110" s="139"/>
      <c r="M110" s="39" t="str">
        <f>IFERROR(VLOOKUP(I110,中介表!$A$1:$C$21,3,FALSE),"")</f>
        <v>引魂仙子</v>
      </c>
      <c r="N110" s="39"/>
      <c r="O110" s="39"/>
      <c r="P110" s="39"/>
      <c r="Q110" s="39"/>
      <c r="R110" s="39"/>
    </row>
    <row r="111" spans="8:18">
      <c r="H111" s="143"/>
      <c r="I111" s="109" t="s">
        <v>141</v>
      </c>
      <c r="J111" s="140"/>
      <c r="K111" s="39" t="str">
        <f>IFERROR(VLOOKUP(I111,中介表!$A$1:$C$21,2,FALSE),"")</f>
        <v>小白龙</v>
      </c>
      <c r="L111" s="139"/>
      <c r="M111" s="39" t="str">
        <f>IFERROR(VLOOKUP(I111,中介表!$A$1:$C$21,3,FALSE),"")</f>
        <v>人参娃</v>
      </c>
      <c r="N111" s="39"/>
      <c r="O111" s="39"/>
      <c r="P111" s="39"/>
      <c r="Q111" s="39"/>
      <c r="R111" s="39"/>
    </row>
    <row r="112" spans="8:18">
      <c r="I112" s="109"/>
      <c r="K112" s="39" t="str">
        <f>IFERROR(VLOOKUP(I112,中介表!$A$1:$C$21,2,FALSE),"")</f>
        <v/>
      </c>
      <c r="L112" s="39"/>
      <c r="M112" s="39" t="str">
        <f>IFERROR(VLOOKUP(I112,中介表!$A$1:$C$21,3,FALSE),"")</f>
        <v/>
      </c>
      <c r="N112" s="39"/>
      <c r="O112" s="39"/>
      <c r="P112" s="39"/>
      <c r="Q112" s="39"/>
      <c r="R112" s="39"/>
    </row>
    <row r="113" spans="8:18">
      <c r="H113" s="143" t="s">
        <v>551</v>
      </c>
      <c r="I113" s="109" t="s">
        <v>147</v>
      </c>
      <c r="J113" s="140" t="s">
        <v>639</v>
      </c>
      <c r="K113" s="39" t="str">
        <f>IFERROR(VLOOKUP(I113,中介表!$A$1:$C$21,2,FALSE),"")</f>
        <v>泾河龙王</v>
      </c>
      <c r="L113" s="139" t="s">
        <v>648</v>
      </c>
      <c r="M113" s="39" t="str">
        <f>IFERROR(VLOOKUP(I113,中介表!$A$1:$C$21,3,FALSE),"")</f>
        <v>地藏王</v>
      </c>
      <c r="N113" s="39"/>
      <c r="O113" s="39"/>
      <c r="P113" s="39"/>
      <c r="Q113" s="39"/>
      <c r="R113" s="39"/>
    </row>
    <row r="114" spans="8:18">
      <c r="H114" s="143"/>
      <c r="I114" s="109" t="s">
        <v>148</v>
      </c>
      <c r="J114" s="140"/>
      <c r="K114" s="39" t="str">
        <f>IFERROR(VLOOKUP(I114,中介表!$A$1:$C$21,2,FALSE),"")</f>
        <v>雷公</v>
      </c>
      <c r="L114" s="139"/>
      <c r="M114" s="39" t="str">
        <f>IFERROR(VLOOKUP(I114,中介表!$A$1:$C$21,3,FALSE),"")</f>
        <v>混沌</v>
      </c>
      <c r="N114" s="39"/>
      <c r="O114" s="39"/>
      <c r="P114" s="39"/>
      <c r="Q114" s="39"/>
      <c r="R114" s="39"/>
    </row>
    <row r="115" spans="8:18">
      <c r="I115" s="109"/>
      <c r="K115" s="39" t="str">
        <f>IFERROR(VLOOKUP(I115,中介表!$A$1:$C$21,2,FALSE),"")</f>
        <v/>
      </c>
      <c r="L115" s="39"/>
      <c r="M115" s="39" t="str">
        <f>IFERROR(VLOOKUP(I115,中介表!$A$1:$C$21,3,FALSE),"")</f>
        <v/>
      </c>
      <c r="N115" s="39"/>
      <c r="O115" s="39"/>
      <c r="P115" s="39"/>
      <c r="Q115" s="39"/>
      <c r="R115" s="39"/>
    </row>
    <row r="116" spans="8:18">
      <c r="H116" s="143" t="s">
        <v>555</v>
      </c>
      <c r="I116" s="109" t="s">
        <v>149</v>
      </c>
      <c r="J116" s="140" t="s">
        <v>638</v>
      </c>
      <c r="K116" s="39" t="str">
        <f>IFERROR(VLOOKUP(I116,中介表!$A$1:$C$21,2,FALSE),"")</f>
        <v>鬼使黑</v>
      </c>
      <c r="L116" s="139" t="s">
        <v>649</v>
      </c>
      <c r="M116" s="39" t="str">
        <f>IFERROR(VLOOKUP(I116,中介表!$A$1:$C$21,3,FALSE),"")</f>
        <v>白龙公主</v>
      </c>
      <c r="N116" s="39"/>
      <c r="O116" s="39"/>
      <c r="P116" s="39"/>
      <c r="Q116" s="39"/>
      <c r="R116" s="39"/>
    </row>
    <row r="117" spans="8:18">
      <c r="H117" s="143"/>
      <c r="I117" s="109" t="s">
        <v>82</v>
      </c>
      <c r="J117" s="140"/>
      <c r="K117" s="39" t="str">
        <f>IFERROR(VLOOKUP(I117,中介表!$A$1:$C$21,2,FALSE),"")</f>
        <v>鬼使白</v>
      </c>
      <c r="L117" s="139"/>
      <c r="M117" s="39" t="str">
        <f>IFERROR(VLOOKUP(I117,中介表!$A$1:$C$21,3,FALSE),"")</f>
        <v>赛太岁</v>
      </c>
      <c r="N117" s="39"/>
      <c r="O117" s="39"/>
      <c r="P117" s="39"/>
      <c r="Q117" s="39"/>
      <c r="R117" s="39"/>
    </row>
    <row r="118" spans="8:18">
      <c r="I118" s="109"/>
      <c r="K118" s="39" t="str">
        <f>IFERROR(VLOOKUP(I118,中介表!$A$1:$C$21,2,FALSE),"")</f>
        <v/>
      </c>
      <c r="L118" s="39"/>
      <c r="M118" s="39" t="str">
        <f>IFERROR(VLOOKUP(I118,中介表!$A$1:$C$21,3,FALSE),"")</f>
        <v/>
      </c>
      <c r="N118" s="39"/>
      <c r="O118" s="39"/>
      <c r="P118" s="39"/>
      <c r="Q118" s="39"/>
      <c r="R118" s="39"/>
    </row>
    <row r="119" spans="8:18">
      <c r="H119" s="143" t="s">
        <v>561</v>
      </c>
      <c r="I119" s="109" t="s">
        <v>163</v>
      </c>
      <c r="J119" s="140" t="s">
        <v>640</v>
      </c>
      <c r="K119" s="39" t="str">
        <f>IFERROR(VLOOKUP(I119,中介表!$A$1:$C$21,2,FALSE),"")</f>
        <v>牛头</v>
      </c>
      <c r="L119" s="139" t="s">
        <v>650</v>
      </c>
      <c r="M119" s="39" t="str">
        <f>IFERROR(VLOOKUP(I119,中介表!$A$1:$C$21,3,FALSE),"")</f>
        <v>琴仙</v>
      </c>
      <c r="N119" s="39"/>
      <c r="O119" s="39"/>
      <c r="P119" s="39"/>
      <c r="Q119" s="39"/>
      <c r="R119" s="39"/>
    </row>
    <row r="120" spans="8:18">
      <c r="H120" s="143"/>
      <c r="I120" s="109" t="s">
        <v>164</v>
      </c>
      <c r="J120" s="140"/>
      <c r="K120" s="39" t="str">
        <f>IFERROR(VLOOKUP(I120,中介表!$A$1:$C$21,2,FALSE),"")</f>
        <v>马面</v>
      </c>
      <c r="L120" s="139"/>
      <c r="M120" s="39" t="str">
        <f>IFERROR(VLOOKUP(I120,中介表!$A$1:$C$21,3,FALSE),"")</f>
        <v>黑熊精</v>
      </c>
      <c r="N120" s="39"/>
      <c r="O120" s="39"/>
      <c r="P120" s="39"/>
      <c r="Q120" s="39"/>
      <c r="R120" s="39"/>
    </row>
    <row r="121" spans="8:18">
      <c r="I121" s="109"/>
      <c r="K121" s="39" t="str">
        <f>IFERROR(VLOOKUP(I121,中介表!$A$1:$C$21,2,FALSE),"")</f>
        <v/>
      </c>
      <c r="L121" s="39"/>
      <c r="M121" s="39" t="str">
        <f>IFERROR(VLOOKUP(I121,中介表!$A$1:$C$21,3,FALSE),"")</f>
        <v/>
      </c>
      <c r="N121" s="39"/>
      <c r="O121" s="39"/>
      <c r="P121" s="39"/>
      <c r="Q121" s="39"/>
      <c r="R121" s="39"/>
    </row>
    <row r="122" spans="8:18">
      <c r="H122" s="143" t="s">
        <v>554</v>
      </c>
      <c r="I122" s="109" t="s">
        <v>147</v>
      </c>
      <c r="J122" s="140" t="s">
        <v>647</v>
      </c>
      <c r="K122" s="39" t="str">
        <f>IFERROR(VLOOKUP(I122,中介表!$A$1:$C$21,2,FALSE),"")</f>
        <v>泾河龙王</v>
      </c>
      <c r="L122" s="139" t="s">
        <v>651</v>
      </c>
      <c r="M122" s="39" t="str">
        <f>IFERROR(VLOOKUP(I122,中介表!$A$1:$C$21,3,FALSE),"")</f>
        <v>地藏王</v>
      </c>
      <c r="N122" s="39"/>
      <c r="O122" s="39"/>
      <c r="P122" s="39"/>
      <c r="Q122" s="39"/>
      <c r="R122" s="39"/>
    </row>
    <row r="123" spans="8:18">
      <c r="H123" s="143"/>
      <c r="I123" s="109" t="s">
        <v>149</v>
      </c>
      <c r="J123" s="140"/>
      <c r="K123" s="39" t="str">
        <f>IFERROR(VLOOKUP(I123,中介表!$A$1:$C$21,2,FALSE),"")</f>
        <v>鬼使黑</v>
      </c>
      <c r="L123" s="139"/>
      <c r="M123" s="39" t="str">
        <f>IFERROR(VLOOKUP(I123,中介表!$A$1:$C$21,3,FALSE),"")</f>
        <v>白龙公主</v>
      </c>
      <c r="N123" s="39"/>
      <c r="O123" s="39"/>
      <c r="P123" s="39"/>
      <c r="Q123" s="39"/>
      <c r="R123" s="39"/>
    </row>
    <row r="124" spans="8:18">
      <c r="I124" s="109"/>
      <c r="K124" s="39" t="str">
        <f>IFERROR(VLOOKUP(I124,中介表!$A$1:$C$21,2,FALSE),"")</f>
        <v/>
      </c>
      <c r="L124" s="39"/>
      <c r="M124" s="39" t="str">
        <f>IFERROR(VLOOKUP(I124,中介表!$A$1:$C$21,3,FALSE),"")</f>
        <v/>
      </c>
      <c r="N124" s="39"/>
      <c r="O124" s="39"/>
      <c r="P124" s="39"/>
      <c r="Q124" s="39"/>
      <c r="R124" s="39"/>
    </row>
    <row r="125" spans="8:18">
      <c r="H125" s="143" t="s">
        <v>556</v>
      </c>
      <c r="I125" s="109" t="s">
        <v>148</v>
      </c>
      <c r="J125" s="140" t="s">
        <v>642</v>
      </c>
      <c r="K125" s="39" t="str">
        <f>IFERROR(VLOOKUP(I125,中介表!$A$1:$C$21,2,FALSE),"")</f>
        <v>雷公</v>
      </c>
      <c r="L125" s="139" t="s">
        <v>654</v>
      </c>
      <c r="M125" s="39" t="str">
        <f>IFERROR(VLOOKUP(I125,中介表!$A$1:$C$21,3,FALSE),"")</f>
        <v>混沌</v>
      </c>
      <c r="N125" s="39"/>
      <c r="O125" s="39"/>
      <c r="P125" s="39"/>
      <c r="Q125" s="39"/>
      <c r="R125" s="39"/>
    </row>
    <row r="126" spans="8:18">
      <c r="H126" s="143"/>
      <c r="I126" s="109" t="s">
        <v>82</v>
      </c>
      <c r="J126" s="140"/>
      <c r="K126" s="39" t="str">
        <f>IFERROR(VLOOKUP(I126,中介表!$A$1:$C$21,2,FALSE),"")</f>
        <v>鬼使白</v>
      </c>
      <c r="L126" s="139"/>
      <c r="M126" s="39" t="str">
        <f>IFERROR(VLOOKUP(I126,中介表!$A$1:$C$21,3,FALSE),"")</f>
        <v>赛太岁</v>
      </c>
      <c r="N126" s="39"/>
      <c r="O126" s="39"/>
      <c r="P126" s="39"/>
      <c r="Q126" s="39"/>
      <c r="R126" s="39"/>
    </row>
    <row r="127" spans="8:18">
      <c r="I127" s="109"/>
      <c r="K127" s="39" t="str">
        <f>IFERROR(VLOOKUP(I127,中介表!$A$1:$C$21,2,FALSE),"")</f>
        <v/>
      </c>
      <c r="L127" s="39"/>
      <c r="M127" s="39" t="str">
        <f>IFERROR(VLOOKUP(I127,中介表!$A$1:$C$21,3,FALSE),"")</f>
        <v/>
      </c>
      <c r="N127" s="39"/>
      <c r="O127" s="39"/>
      <c r="P127" s="39"/>
      <c r="Q127" s="39"/>
      <c r="R127" s="39"/>
    </row>
    <row r="128" spans="8:18">
      <c r="H128" s="143" t="s">
        <v>552</v>
      </c>
      <c r="I128" s="109" t="s">
        <v>149</v>
      </c>
      <c r="J128" s="140" t="s">
        <v>644</v>
      </c>
      <c r="K128" s="39" t="str">
        <f>IFERROR(VLOOKUP(I128,中介表!$A$1:$C$21,2,FALSE),"")</f>
        <v>鬼使黑</v>
      </c>
      <c r="L128" s="139" t="s">
        <v>632</v>
      </c>
      <c r="M128" s="39" t="str">
        <f>IFERROR(VLOOKUP(I128,中介表!$A$1:$C$21,3,FALSE),"")</f>
        <v>白龙公主</v>
      </c>
      <c r="N128" s="39"/>
      <c r="O128" s="39"/>
      <c r="P128" s="39"/>
      <c r="Q128" s="39"/>
      <c r="R128" s="39"/>
    </row>
    <row r="129" spans="8:18">
      <c r="H129" s="143"/>
      <c r="I129" s="109" t="s">
        <v>163</v>
      </c>
      <c r="J129" s="140"/>
      <c r="K129" s="39" t="str">
        <f>IFERROR(VLOOKUP(I129,中介表!$A$1:$C$21,2,FALSE),"")</f>
        <v>牛头</v>
      </c>
      <c r="L129" s="139"/>
      <c r="M129" s="39" t="str">
        <f>IFERROR(VLOOKUP(I129,中介表!$A$1:$C$21,3,FALSE),"")</f>
        <v>琴仙</v>
      </c>
      <c r="N129" s="39"/>
      <c r="O129" s="39"/>
      <c r="P129" s="39"/>
      <c r="Q129" s="39"/>
      <c r="R129" s="39"/>
    </row>
    <row r="130" spans="8:18">
      <c r="I130" s="109"/>
      <c r="K130" s="39" t="str">
        <f>IFERROR(VLOOKUP(I130,中介表!$A$1:$C$21,2,FALSE),"")</f>
        <v/>
      </c>
      <c r="L130" s="39"/>
      <c r="M130" s="39" t="str">
        <f>IFERROR(VLOOKUP(I130,中介表!$A$1:$C$21,3,FALSE),"")</f>
        <v/>
      </c>
      <c r="N130" s="39"/>
      <c r="O130" s="39"/>
      <c r="P130" s="39"/>
      <c r="Q130" s="39"/>
      <c r="R130" s="39"/>
    </row>
    <row r="131" spans="8:18">
      <c r="H131" s="143" t="s">
        <v>637</v>
      </c>
      <c r="I131" s="109" t="s">
        <v>82</v>
      </c>
      <c r="J131" s="140" t="s">
        <v>645</v>
      </c>
      <c r="K131" s="39" t="str">
        <f>IFERROR(VLOOKUP(I131,中介表!$A$1:$C$21,2,FALSE),"")</f>
        <v>鬼使白</v>
      </c>
      <c r="L131" s="139" t="s">
        <v>653</v>
      </c>
      <c r="M131" s="39" t="str">
        <f>IFERROR(VLOOKUP(I131,中介表!$A$1:$C$21,3,FALSE),"")</f>
        <v>赛太岁</v>
      </c>
      <c r="N131" s="39"/>
      <c r="O131" s="39"/>
      <c r="P131" s="39"/>
      <c r="Q131" s="39"/>
      <c r="R131" s="39"/>
    </row>
    <row r="132" spans="8:18">
      <c r="H132" s="143"/>
      <c r="I132" s="109" t="s">
        <v>164</v>
      </c>
      <c r="J132" s="140"/>
      <c r="K132" s="39" t="str">
        <f>IFERROR(VLOOKUP(I132,中介表!$A$1:$C$21,2,FALSE),"")</f>
        <v>马面</v>
      </c>
      <c r="L132" s="139"/>
      <c r="M132" s="39" t="str">
        <f>IFERROR(VLOOKUP(I132,中介表!$A$1:$C$21,3,FALSE),"")</f>
        <v>黑熊精</v>
      </c>
      <c r="N132" s="39"/>
      <c r="O132" s="39"/>
      <c r="P132" s="39"/>
      <c r="Q132" s="39"/>
      <c r="R132" s="39"/>
    </row>
    <row r="133" spans="8:18">
      <c r="I133" s="109"/>
      <c r="K133" s="39" t="str">
        <f>IFERROR(VLOOKUP(I133,中介表!$A$1:$C$21,2,FALSE),"")</f>
        <v/>
      </c>
      <c r="L133" s="39"/>
      <c r="M133" s="39" t="str">
        <f>IFERROR(VLOOKUP(I133,中介表!$A$1:$C$21,3,FALSE),"")</f>
        <v/>
      </c>
      <c r="N133" s="39"/>
      <c r="O133" s="39"/>
      <c r="P133" s="39"/>
      <c r="Q133" s="39"/>
      <c r="R133" s="39"/>
    </row>
    <row r="134" spans="8:18">
      <c r="H134" s="143" t="s">
        <v>553</v>
      </c>
      <c r="I134" s="109" t="s">
        <v>147</v>
      </c>
      <c r="J134" s="140" t="s">
        <v>646</v>
      </c>
      <c r="K134" s="39" t="str">
        <f>IFERROR(VLOOKUP(I134,中介表!$A$1:$C$21,2,FALSE),"")</f>
        <v>泾河龙王</v>
      </c>
      <c r="L134" s="139" t="s">
        <v>652</v>
      </c>
      <c r="M134" s="39" t="str">
        <f>IFERROR(VLOOKUP(I134,中介表!$A$1:$C$21,3,FALSE),"")</f>
        <v>地藏王</v>
      </c>
      <c r="N134" s="39"/>
      <c r="O134" s="39"/>
      <c r="P134" s="39"/>
      <c r="Q134" s="39"/>
      <c r="R134" s="39"/>
    </row>
    <row r="135" spans="8:18">
      <c r="H135" s="143"/>
      <c r="I135" s="109" t="s">
        <v>82</v>
      </c>
      <c r="J135" s="140"/>
      <c r="K135" s="39" t="str">
        <f>IFERROR(VLOOKUP(I135,中介表!$A$1:$C$21,2,FALSE),"")</f>
        <v>鬼使白</v>
      </c>
      <c r="L135" s="139"/>
      <c r="M135" s="39" t="str">
        <f>IFERROR(VLOOKUP(I135,中介表!$A$1:$C$21,3,FALSE),"")</f>
        <v>赛太岁</v>
      </c>
      <c r="N135" s="39"/>
      <c r="O135" s="39"/>
      <c r="P135" s="39"/>
      <c r="Q135" s="39"/>
      <c r="R135" s="39"/>
    </row>
    <row r="136" spans="8:18">
      <c r="I136" s="109"/>
      <c r="K136" s="39" t="str">
        <f>IFERROR(VLOOKUP(I136,中介表!$A$1:$C$21,2,FALSE),"")</f>
        <v/>
      </c>
      <c r="L136" s="39"/>
      <c r="M136" s="39" t="str">
        <f>IFERROR(VLOOKUP(I136,中介表!$A$1:$C$21,3,FALSE),"")</f>
        <v/>
      </c>
      <c r="N136" s="39"/>
      <c r="O136" s="39"/>
      <c r="P136" s="39"/>
      <c r="Q136" s="39"/>
      <c r="R136" s="39"/>
    </row>
    <row r="137" spans="8:18">
      <c r="H137" s="143" t="s">
        <v>557</v>
      </c>
      <c r="I137" s="109" t="s">
        <v>148</v>
      </c>
      <c r="J137" s="140" t="s">
        <v>574</v>
      </c>
      <c r="K137" s="39" t="str">
        <f>IFERROR(VLOOKUP(I137,中介表!$A$1:$C$21,2,FALSE),"")</f>
        <v>雷公</v>
      </c>
      <c r="L137" s="139" t="s">
        <v>655</v>
      </c>
      <c r="M137" s="39" t="str">
        <f>IFERROR(VLOOKUP(I137,中介表!$A$1:$C$21,3,FALSE),"")</f>
        <v>混沌</v>
      </c>
      <c r="N137" s="39"/>
      <c r="O137" s="39"/>
      <c r="P137" s="39"/>
      <c r="Q137" s="39"/>
      <c r="R137" s="39"/>
    </row>
    <row r="138" spans="8:18">
      <c r="H138" s="143"/>
      <c r="I138" s="109" t="s">
        <v>163</v>
      </c>
      <c r="J138" s="140"/>
      <c r="K138" s="39" t="str">
        <f>IFERROR(VLOOKUP(I138,中介表!$A$1:$C$21,2,FALSE),"")</f>
        <v>牛头</v>
      </c>
      <c r="L138" s="139"/>
      <c r="M138" s="39" t="str">
        <f>IFERROR(VLOOKUP(I138,中介表!$A$1:$C$21,3,FALSE),"")</f>
        <v>琴仙</v>
      </c>
      <c r="N138" s="39"/>
      <c r="O138" s="39"/>
      <c r="P138" s="39"/>
      <c r="Q138" s="39"/>
      <c r="R138" s="39"/>
    </row>
    <row r="139" spans="8:18">
      <c r="I139" s="109"/>
      <c r="K139" s="39" t="str">
        <f>IFERROR(VLOOKUP(I139,中介表!$A$1:$C$21,2,FALSE),"")</f>
        <v/>
      </c>
      <c r="L139" s="39"/>
      <c r="M139" s="39" t="str">
        <f>IFERROR(VLOOKUP(I139,中介表!$A$1:$C$21,3,FALSE),"")</f>
        <v/>
      </c>
      <c r="N139" s="39"/>
      <c r="O139" s="39"/>
      <c r="P139" s="39"/>
      <c r="Q139" s="39"/>
      <c r="R139" s="39"/>
    </row>
    <row r="140" spans="8:18">
      <c r="H140" s="143" t="s">
        <v>633</v>
      </c>
      <c r="I140" s="109" t="s">
        <v>149</v>
      </c>
      <c r="J140" s="140" t="s">
        <v>643</v>
      </c>
      <c r="K140" s="39" t="str">
        <f>IFERROR(VLOOKUP(I140,中介表!$A$1:$C$21,2,FALSE),"")</f>
        <v>鬼使黑</v>
      </c>
      <c r="L140" s="139" t="s">
        <v>656</v>
      </c>
      <c r="M140" s="39" t="str">
        <f>IFERROR(VLOOKUP(I140,中介表!$A$1:$C$21,3,FALSE),"")</f>
        <v>白龙公主</v>
      </c>
      <c r="N140" s="39"/>
      <c r="O140" s="39"/>
      <c r="P140" s="39"/>
      <c r="Q140" s="39"/>
      <c r="R140" s="39"/>
    </row>
    <row r="141" spans="8:18">
      <c r="H141" s="143"/>
      <c r="I141" s="109" t="s">
        <v>164</v>
      </c>
      <c r="J141" s="140"/>
      <c r="K141" s="39" t="str">
        <f>IFERROR(VLOOKUP(I141,中介表!$A$1:$C$21,2,FALSE),"")</f>
        <v>马面</v>
      </c>
      <c r="L141" s="139"/>
      <c r="M141" s="39" t="str">
        <f>IFERROR(VLOOKUP(I141,中介表!$A$1:$C$21,3,FALSE),"")</f>
        <v>黑熊精</v>
      </c>
      <c r="N141" s="39"/>
      <c r="O141" s="39"/>
      <c r="P141" s="39"/>
      <c r="Q141" s="39"/>
      <c r="R141" s="39"/>
    </row>
    <row r="142" spans="8:18">
      <c r="H142" s="143"/>
      <c r="I142" s="109" t="s">
        <v>147</v>
      </c>
      <c r="J142" s="140"/>
      <c r="K142" s="39" t="str">
        <f>IFERROR(VLOOKUP(I142,中介表!$A$1:$C$21,2,FALSE),"")</f>
        <v>泾河龙王</v>
      </c>
      <c r="L142" s="139"/>
      <c r="M142" s="39" t="str">
        <f>IFERROR(VLOOKUP(I142,中介表!$A$1:$C$21,3,FALSE),"")</f>
        <v>地藏王</v>
      </c>
      <c r="N142" s="39"/>
      <c r="O142" s="39"/>
      <c r="P142" s="39"/>
      <c r="Q142" s="39"/>
      <c r="R142" s="39"/>
    </row>
    <row r="143" spans="8:18">
      <c r="I143" s="109"/>
      <c r="K143" s="39" t="str">
        <f>IFERROR(VLOOKUP(I143,中介表!$A$1:$C$21,2,FALSE),"")</f>
        <v/>
      </c>
      <c r="L143" s="39"/>
      <c r="M143" s="39" t="str">
        <f>IFERROR(VLOOKUP(I143,中介表!$A$1:$C$21,3,FALSE),"")</f>
        <v/>
      </c>
      <c r="N143" s="39"/>
      <c r="O143" s="39"/>
      <c r="P143" s="39"/>
      <c r="Q143" s="39"/>
      <c r="R143" s="39"/>
    </row>
    <row r="144" spans="8:18">
      <c r="H144" s="143" t="s">
        <v>634</v>
      </c>
      <c r="I144" s="109" t="s">
        <v>163</v>
      </c>
      <c r="J144" s="140" t="s">
        <v>641</v>
      </c>
      <c r="K144" s="39" t="str">
        <f>IFERROR(VLOOKUP(I144,中介表!$A$1:$C$21,2,FALSE),"")</f>
        <v>牛头</v>
      </c>
      <c r="L144" s="139" t="s">
        <v>657</v>
      </c>
      <c r="M144" s="39" t="str">
        <f>IFERROR(VLOOKUP(I144,中介表!$A$1:$C$21,3,FALSE),"")</f>
        <v>琴仙</v>
      </c>
      <c r="N144" s="39"/>
      <c r="O144" s="39"/>
      <c r="P144" s="39"/>
      <c r="Q144" s="39"/>
      <c r="R144" s="39"/>
    </row>
    <row r="145" spans="2:18">
      <c r="H145" s="143"/>
      <c r="I145" s="109" t="s">
        <v>148</v>
      </c>
      <c r="J145" s="140"/>
      <c r="K145" s="39" t="str">
        <f>IFERROR(VLOOKUP(I145,中介表!$A$1:$C$21,2,FALSE),"")</f>
        <v>雷公</v>
      </c>
      <c r="L145" s="139"/>
      <c r="M145" s="39" t="str">
        <f>IFERROR(VLOOKUP(I145,中介表!$A$1:$C$21,3,FALSE),"")</f>
        <v>混沌</v>
      </c>
      <c r="N145" s="34"/>
      <c r="O145" s="34"/>
      <c r="P145" s="34"/>
      <c r="Q145" s="34"/>
      <c r="R145" s="34"/>
    </row>
    <row r="146" spans="2:18">
      <c r="H146" s="143"/>
      <c r="I146" s="109" t="s">
        <v>164</v>
      </c>
      <c r="J146" s="140"/>
      <c r="K146" s="39" t="str">
        <f>IFERROR(VLOOKUP(I146,中介表!$A$1:$C$21,2,FALSE),"")</f>
        <v>马面</v>
      </c>
      <c r="L146" s="139"/>
      <c r="M146" s="39" t="str">
        <f>IFERROR(VLOOKUP(I146,中介表!$A$1:$C$21,3,FALSE),"")</f>
        <v>黑熊精</v>
      </c>
      <c r="N146" s="34"/>
      <c r="O146" s="34"/>
      <c r="P146" s="34"/>
      <c r="Q146" s="34"/>
      <c r="R146" s="34"/>
    </row>
    <row r="147" spans="2:18">
      <c r="B147" t="s">
        <v>685</v>
      </c>
      <c r="I147" s="109"/>
      <c r="K147" s="34" t="str">
        <f>IFERROR(VLOOKUP(I147,中介表!$A$1:$C$21,2,FALSE),"")</f>
        <v/>
      </c>
      <c r="L147" s="34"/>
      <c r="M147" s="34" t="str">
        <f>IFERROR(VLOOKUP(I147,中介表!$A$1:$C$21,3,FALSE),"")</f>
        <v/>
      </c>
      <c r="N147" s="34"/>
      <c r="O147" s="34"/>
      <c r="P147" s="34"/>
      <c r="Q147" s="34"/>
      <c r="R147" s="34"/>
    </row>
    <row r="148" spans="2:18">
      <c r="B148" t="s">
        <v>686</v>
      </c>
      <c r="K148" s="34" t="str">
        <f>IFERROR(VLOOKUP(I148,中介表!$A$1:$C$21,2,FALSE),"")</f>
        <v/>
      </c>
    </row>
    <row r="149" spans="2:18">
      <c r="K149" s="34"/>
    </row>
    <row r="150" spans="2:18">
      <c r="B150" t="s">
        <v>687</v>
      </c>
    </row>
    <row r="151" spans="2:18">
      <c r="B151" t="s">
        <v>688</v>
      </c>
    </row>
    <row r="153" spans="2:18">
      <c r="B153" t="s">
        <v>689</v>
      </c>
    </row>
    <row r="154" spans="2:18">
      <c r="B154" t="s">
        <v>690</v>
      </c>
    </row>
    <row r="155" spans="2:18">
      <c r="B155" t="s">
        <v>691</v>
      </c>
    </row>
    <row r="156" spans="2:18">
      <c r="B156" t="s">
        <v>692</v>
      </c>
    </row>
    <row r="158" spans="2:18">
      <c r="B158" t="s">
        <v>693</v>
      </c>
    </row>
    <row r="159" spans="2:18">
      <c r="B159" t="s">
        <v>694</v>
      </c>
    </row>
    <row r="161" spans="2:2">
      <c r="B161" t="s">
        <v>695</v>
      </c>
    </row>
    <row r="162" spans="2:2">
      <c r="B162" t="s">
        <v>696</v>
      </c>
    </row>
    <row r="163" spans="2:2">
      <c r="B163" t="s">
        <v>697</v>
      </c>
    </row>
    <row r="164" spans="2:2">
      <c r="B164" t="s">
        <v>698</v>
      </c>
    </row>
    <row r="165" spans="2:2">
      <c r="B165" t="s">
        <v>699</v>
      </c>
    </row>
    <row r="166" spans="2:2">
      <c r="B166" t="s">
        <v>700</v>
      </c>
    </row>
    <row r="167" spans="2:2">
      <c r="B167" t="s">
        <v>701</v>
      </c>
    </row>
    <row r="168" spans="2:2">
      <c r="B168" t="s">
        <v>702</v>
      </c>
    </row>
    <row r="169" spans="2:2">
      <c r="B169" t="s">
        <v>703</v>
      </c>
    </row>
    <row r="170" spans="2:2">
      <c r="B170" t="s">
        <v>704</v>
      </c>
    </row>
    <row r="171" spans="2:2">
      <c r="B171" t="s">
        <v>705</v>
      </c>
    </row>
    <row r="172" spans="2:2">
      <c r="B172" t="s">
        <v>706</v>
      </c>
    </row>
    <row r="173" spans="2:2">
      <c r="B173" t="s">
        <v>707</v>
      </c>
    </row>
    <row r="174" spans="2:2">
      <c r="B174" t="s">
        <v>708</v>
      </c>
    </row>
    <row r="175" spans="2:2">
      <c r="B175" t="s">
        <v>709</v>
      </c>
    </row>
    <row r="176" spans="2:2">
      <c r="B176" t="s">
        <v>710</v>
      </c>
    </row>
    <row r="177" spans="2:2">
      <c r="B177" t="s">
        <v>711</v>
      </c>
    </row>
    <row r="178" spans="2:2">
      <c r="B178" t="s">
        <v>681</v>
      </c>
    </row>
    <row r="180" spans="2:2">
      <c r="B180" t="s">
        <v>712</v>
      </c>
    </row>
    <row r="181" spans="2:2">
      <c r="B181" t="s">
        <v>713</v>
      </c>
    </row>
    <row r="182" spans="2:2">
      <c r="B182" t="s">
        <v>714</v>
      </c>
    </row>
    <row r="183" spans="2:2">
      <c r="B183" t="s">
        <v>715</v>
      </c>
    </row>
    <row r="185" spans="2:2">
      <c r="B185" t="s">
        <v>716</v>
      </c>
    </row>
    <row r="186" spans="2:2">
      <c r="B186" t="s">
        <v>717</v>
      </c>
    </row>
    <row r="187" spans="2:2">
      <c r="B187" t="s">
        <v>718</v>
      </c>
    </row>
    <row r="188" spans="2:2">
      <c r="B188" t="s">
        <v>719</v>
      </c>
    </row>
    <row r="189" spans="2:2">
      <c r="B189" t="s">
        <v>720</v>
      </c>
    </row>
    <row r="190" spans="2:2">
      <c r="B190" t="s">
        <v>721</v>
      </c>
    </row>
    <row r="191" spans="2:2">
      <c r="B191" t="s">
        <v>722</v>
      </c>
    </row>
    <row r="192" spans="2:2">
      <c r="B192" t="s">
        <v>723</v>
      </c>
    </row>
    <row r="193" spans="2:2">
      <c r="B193" t="s">
        <v>724</v>
      </c>
    </row>
    <row r="195" spans="2:2">
      <c r="B195" t="s">
        <v>725</v>
      </c>
    </row>
    <row r="196" spans="2:2">
      <c r="B196" t="s">
        <v>726</v>
      </c>
    </row>
  </sheetData>
  <mergeCells count="132">
    <mergeCell ref="H131:H132"/>
    <mergeCell ref="H134:H135"/>
    <mergeCell ref="H137:H138"/>
    <mergeCell ref="H144:H146"/>
    <mergeCell ref="H140:H142"/>
    <mergeCell ref="L26:L27"/>
    <mergeCell ref="L29:L30"/>
    <mergeCell ref="L32:L34"/>
    <mergeCell ref="L36:L38"/>
    <mergeCell ref="L40:L41"/>
    <mergeCell ref="L43:L44"/>
    <mergeCell ref="L46:L47"/>
    <mergeCell ref="L49:L50"/>
    <mergeCell ref="L52:L53"/>
    <mergeCell ref="L55:L56"/>
    <mergeCell ref="H67:H68"/>
    <mergeCell ref="H64:H65"/>
    <mergeCell ref="H113:H114"/>
    <mergeCell ref="H119:H120"/>
    <mergeCell ref="H122:H123"/>
    <mergeCell ref="H76:H77"/>
    <mergeCell ref="H73:H74"/>
    <mergeCell ref="H70:H71"/>
    <mergeCell ref="H128:H129"/>
    <mergeCell ref="H125:H126"/>
    <mergeCell ref="H116:H117"/>
    <mergeCell ref="H82:H83"/>
    <mergeCell ref="H79:H80"/>
    <mergeCell ref="H109:H111"/>
    <mergeCell ref="H105:H107"/>
    <mergeCell ref="H101:H103"/>
    <mergeCell ref="H97:H99"/>
    <mergeCell ref="H91:H92"/>
    <mergeCell ref="H88:H89"/>
    <mergeCell ref="H85:H86"/>
    <mergeCell ref="H94:H95"/>
    <mergeCell ref="L20:L21"/>
    <mergeCell ref="H23:H24"/>
    <mergeCell ref="J23:J24"/>
    <mergeCell ref="L23:L24"/>
    <mergeCell ref="H61:H62"/>
    <mergeCell ref="H26:H27"/>
    <mergeCell ref="H29:H30"/>
    <mergeCell ref="H32:H34"/>
    <mergeCell ref="H36:H38"/>
    <mergeCell ref="H40:H41"/>
    <mergeCell ref="H43:H44"/>
    <mergeCell ref="H46:H47"/>
    <mergeCell ref="H49:H50"/>
    <mergeCell ref="H52:H53"/>
    <mergeCell ref="H55:H56"/>
    <mergeCell ref="H58:H59"/>
    <mergeCell ref="L61:L62"/>
    <mergeCell ref="J46:J47"/>
    <mergeCell ref="L58:L59"/>
    <mergeCell ref="H20:H21"/>
    <mergeCell ref="J20:J21"/>
    <mergeCell ref="J26:J27"/>
    <mergeCell ref="J29:J30"/>
    <mergeCell ref="L2:L5"/>
    <mergeCell ref="H7:H10"/>
    <mergeCell ref="J7:J10"/>
    <mergeCell ref="L7:L10"/>
    <mergeCell ref="H12:H14"/>
    <mergeCell ref="J12:J14"/>
    <mergeCell ref="L12:L14"/>
    <mergeCell ref="H16:H18"/>
    <mergeCell ref="J16:J18"/>
    <mergeCell ref="L16:L18"/>
    <mergeCell ref="H2:H5"/>
    <mergeCell ref="J2:J5"/>
    <mergeCell ref="J70:J71"/>
    <mergeCell ref="J79:J80"/>
    <mergeCell ref="J36:J38"/>
    <mergeCell ref="J52:J53"/>
    <mergeCell ref="J58:J59"/>
    <mergeCell ref="J49:J50"/>
    <mergeCell ref="J55:J56"/>
    <mergeCell ref="J43:J44"/>
    <mergeCell ref="J32:J34"/>
    <mergeCell ref="J40:J41"/>
    <mergeCell ref="J73:J74"/>
    <mergeCell ref="J61:J62"/>
    <mergeCell ref="J67:J68"/>
    <mergeCell ref="J64:J65"/>
    <mergeCell ref="L113:L114"/>
    <mergeCell ref="L73:L74"/>
    <mergeCell ref="L70:L71"/>
    <mergeCell ref="L101:L103"/>
    <mergeCell ref="L97:L99"/>
    <mergeCell ref="L91:L92"/>
    <mergeCell ref="L64:L65"/>
    <mergeCell ref="L85:L86"/>
    <mergeCell ref="L67:L68"/>
    <mergeCell ref="L88:L89"/>
    <mergeCell ref="L82:L83"/>
    <mergeCell ref="L79:L80"/>
    <mergeCell ref="L76:L77"/>
    <mergeCell ref="L109:L111"/>
    <mergeCell ref="L105:L107"/>
    <mergeCell ref="L94:L95"/>
    <mergeCell ref="J88:J89"/>
    <mergeCell ref="J91:J92"/>
    <mergeCell ref="J101:J103"/>
    <mergeCell ref="J97:J99"/>
    <mergeCell ref="J105:J107"/>
    <mergeCell ref="J85:J86"/>
    <mergeCell ref="J82:J83"/>
    <mergeCell ref="J76:J77"/>
    <mergeCell ref="J144:J146"/>
    <mergeCell ref="J113:J114"/>
    <mergeCell ref="J116:J117"/>
    <mergeCell ref="J119:J120"/>
    <mergeCell ref="J122:J123"/>
    <mergeCell ref="J128:J129"/>
    <mergeCell ref="J125:J126"/>
    <mergeCell ref="J131:J132"/>
    <mergeCell ref="J134:J135"/>
    <mergeCell ref="J137:J138"/>
    <mergeCell ref="J140:J142"/>
    <mergeCell ref="J109:J111"/>
    <mergeCell ref="J94:J95"/>
    <mergeCell ref="L116:L117"/>
    <mergeCell ref="L144:L146"/>
    <mergeCell ref="L140:L142"/>
    <mergeCell ref="L137:L138"/>
    <mergeCell ref="L134:L135"/>
    <mergeCell ref="L131:L132"/>
    <mergeCell ref="L128:L129"/>
    <mergeCell ref="L125:L126"/>
    <mergeCell ref="L122:L123"/>
    <mergeCell ref="L119:L120"/>
  </mergeCells>
  <phoneticPr fontId="2" type="noConversion"/>
  <conditionalFormatting sqref="V22:AP61 K148:K149 K110:K111 K106:K107 K102:K103 K98:K99 K145:K146 K141:K142 K138 K135 K132 K129 K126 K123 K120 K117 K114 K112:M113 M110:M111 K108:M109 M106:M107 K104:M105 M102:M103 K100:M101 M98:M99 K97:M97 K147:M147 M145:M146 K143:M144 M141:M142 K139:M140 M138 K136:M137 M135 K133:M134 M132 K130:M131 M129 K127:M128 M126 K124:M125 M123 K121:M122 M120 K118:M119 M117 K115:M116 M114 I97:I147 M95:M96 K95:K96 K93:R93 K92 M92:R92 K90:R91 K89 M89:R89 K87:R88 K94:M94 K6:R7 K2:P2 Q1 AQ22:AS59 K3:K5 M3:R5 K11:R12 K8:K10 M8:R10 K15:R16 K13:K14 M13:R14 K19:R20 K17:K18 M17:R18 K22:R23 K21 M21:R21 K25:R26 K24 M24:R24 K28:R29 K27 M27:R27 K30 M30:R30 K35:N36 K33:K34 M33:R34 K39:N40 K37:K38 M37:N38 K42:N43 K41 M41:N41 O36:Q44 K44 M44:N44 R35:R44 K45:R46 K48:R49 K47 M47:R47 K51:R52 K50 M50:R50 K54:R55 K53 M53:R53 K57:R58 K56 M56:R56 K84:R85 K83 M83:R83 K81:R82 K80 M80:R80 K78:R79 K77 M77:R77 K75:R76 K74 M74:R74 K72:R73 K71 M71:R71 K69:R70 K68 M68:R68 K66:R67 K65 M65:R65 K63:R64 K62 M62:R62 K60:R61 K59 M59:R59 I2:I93 K86 M86:R86 K31:R32 N94:R147 H96:J96">
    <cfRule type="expression" dxfId="68" priority="27">
      <formula>INDEX($D:$D,MATCH(H1,$A:$A,0))=11</formula>
    </cfRule>
    <cfRule type="expression" dxfId="67" priority="28">
      <formula>INDEX($D:$D,MATCH(H1,$A:$A,0))=13</formula>
    </cfRule>
    <cfRule type="expression" dxfId="66" priority="29">
      <formula>INDEX($D:$D,MATCH(H1,$A:$A,0))=16</formula>
    </cfRule>
    <cfRule type="expression" dxfId="65" priority="30">
      <formula>INDEX($D:$D,MATCH(H1,$A:$A,0))=20</formula>
    </cfRule>
  </conditionalFormatting>
  <conditionalFormatting sqref="O3:R31 O32:P32 R32 O33:R34 R35:R45 O36:Q46">
    <cfRule type="cellIs" dxfId="64" priority="218" operator="equal">
      <formula>$R$1</formula>
    </cfRule>
  </conditionalFormatting>
  <conditionalFormatting sqref="Q32">
    <cfRule type="cellIs" dxfId="63" priority="13" operator="equal">
      <formula>$R$1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16"/>
  <sheetViews>
    <sheetView workbookViewId="0">
      <selection activeCell="L19" sqref="A17:L19"/>
    </sheetView>
  </sheetViews>
  <sheetFormatPr defaultRowHeight="13.5" customHeight="1"/>
  <cols>
    <col min="1" max="7" width="9" style="94"/>
    <col min="8" max="9" width="8" style="94" customWidth="1"/>
    <col min="10" max="10" width="9.375" style="94" customWidth="1"/>
    <col min="11" max="11" width="9.875" style="94" customWidth="1"/>
    <col min="12" max="12" width="9" style="94"/>
    <col min="13" max="13" width="11.875" style="94" customWidth="1"/>
    <col min="14" max="14" width="10.875" style="94" customWidth="1"/>
    <col min="15" max="21" width="10.75" style="94" customWidth="1"/>
    <col min="22" max="22" width="20.875" style="94" customWidth="1"/>
    <col min="23" max="23" width="9" style="94"/>
    <col min="24" max="24" width="11.5" style="94" customWidth="1"/>
    <col min="25" max="25" width="12.375" style="94" customWidth="1"/>
    <col min="26" max="16384" width="9" style="94"/>
  </cols>
  <sheetData>
    <row r="1" spans="1:26" ht="13.5" customHeight="1">
      <c r="A1" s="91" t="s">
        <v>39</v>
      </c>
      <c r="B1" s="92" t="s">
        <v>144</v>
      </c>
      <c r="C1" s="28" t="s">
        <v>9</v>
      </c>
      <c r="D1" s="28" t="s">
        <v>10</v>
      </c>
      <c r="E1" s="28" t="s">
        <v>79</v>
      </c>
      <c r="F1" s="28" t="s">
        <v>69</v>
      </c>
      <c r="G1" s="28" t="s">
        <v>62</v>
      </c>
      <c r="H1" s="83" t="s">
        <v>727</v>
      </c>
      <c r="I1" s="83" t="s">
        <v>728</v>
      </c>
      <c r="J1" s="83" t="s">
        <v>729</v>
      </c>
      <c r="K1" s="83" t="s">
        <v>730</v>
      </c>
      <c r="M1" s="108" t="s">
        <v>482</v>
      </c>
    </row>
    <row r="2" spans="1:26" ht="13.5" customHeight="1">
      <c r="A2" s="117" t="s">
        <v>1</v>
      </c>
      <c r="B2" s="117">
        <f>COUNTIF($I$2:$I$370,"孙悟空")</f>
        <v>0</v>
      </c>
      <c r="C2" s="117" t="s">
        <v>12</v>
      </c>
      <c r="D2" s="4">
        <v>16</v>
      </c>
      <c r="E2" s="4" t="s">
        <v>59</v>
      </c>
      <c r="F2" s="4" t="str">
        <f>C2&amp;D2</f>
        <v>橙16</v>
      </c>
      <c r="G2" s="4" t="s">
        <v>65</v>
      </c>
      <c r="H2" s="104" t="s">
        <v>658</v>
      </c>
      <c r="I2" s="105" t="s">
        <v>660</v>
      </c>
      <c r="J2" s="106" t="s">
        <v>121</v>
      </c>
      <c r="K2" s="105" t="s">
        <v>123</v>
      </c>
      <c r="M2" s="108" t="s">
        <v>483</v>
      </c>
      <c r="X2" s="104" t="s">
        <v>114</v>
      </c>
      <c r="Y2" s="105" t="s">
        <v>116</v>
      </c>
      <c r="Z2" s="94" t="s">
        <v>128</v>
      </c>
    </row>
    <row r="3" spans="1:26" ht="13.5" customHeight="1">
      <c r="A3" s="117" t="s">
        <v>95</v>
      </c>
      <c r="B3" s="117">
        <f>COUNTIF($I$2:$I$370,"沙和尚")</f>
        <v>0</v>
      </c>
      <c r="C3" s="117" t="s">
        <v>11</v>
      </c>
      <c r="D3" s="4">
        <v>16</v>
      </c>
      <c r="E3" s="4" t="s">
        <v>59</v>
      </c>
      <c r="F3" s="4" t="str">
        <f t="shared" ref="F3:F58" si="0">C3&amp;D3</f>
        <v>橙16</v>
      </c>
      <c r="G3" s="4" t="s">
        <v>65</v>
      </c>
      <c r="H3" s="104" t="s">
        <v>103</v>
      </c>
      <c r="I3" s="105" t="s">
        <v>119</v>
      </c>
      <c r="J3" s="106" t="s">
        <v>121</v>
      </c>
      <c r="K3" s="105" t="s">
        <v>123</v>
      </c>
      <c r="M3" s="93" t="s">
        <v>31</v>
      </c>
      <c r="N3" s="94" t="str">
        <f>IFERROR(VLOOKUP(M3,$A$2:$I$61,8,FALSE),"[]")</f>
        <v>紫金铃</v>
      </c>
      <c r="O3" s="94" t="str">
        <f>IFERROR(VLOOKUP(M3,$A$2:$I$61,9,FALSE),"[]")</f>
        <v>阴阳镜</v>
      </c>
      <c r="P3" s="94" t="str">
        <f>IFERROR(VLOOKUP(M3,$A$2:$K$61,10,FALSE),"[]")</f>
        <v>七星宣花铃</v>
      </c>
      <c r="Q3" s="94" t="str">
        <f>IFERROR(VLOOKUP(M3,$A$2:$K$61,11,FALSE),"[]")</f>
        <v>太极清源镜</v>
      </c>
      <c r="R3" s="94">
        <f>IFERROR(VLOOKUP(N3,IF({1,0},$Y$12:$Y$21,$X$12:$X$21),2,0),"[]")</f>
        <v>12017</v>
      </c>
      <c r="S3" s="94">
        <f>IFERROR(VLOOKUP(O3,IF({1,0},$Y$12:$Y$21,$X$12:$X$21),2,0),"[]")</f>
        <v>12019</v>
      </c>
      <c r="T3" s="94">
        <f>IFERROR(VLOOKUP(P3,IF({1,0},$Y$12:$Y$25,$X$12:$X$25),2,0),"[]")</f>
        <v>12021</v>
      </c>
      <c r="U3" s="94">
        <f>IFERROR(VLOOKUP(Q3,IF({1,0},$Y$12:$Y$25,$X$12:$X$25),2,0),"[]")</f>
        <v>12023</v>
      </c>
      <c r="V3" s="94" t="str">
        <f>R3&amp;","&amp;S3&amp;","&amp;T3&amp;","&amp;U3</f>
        <v>12017,12019,12021,12023</v>
      </c>
      <c r="X3" s="106" t="s">
        <v>115</v>
      </c>
      <c r="Y3" s="105" t="s">
        <v>117</v>
      </c>
      <c r="Z3" s="94" t="s">
        <v>129</v>
      </c>
    </row>
    <row r="4" spans="1:26" ht="13.5" customHeight="1">
      <c r="A4" s="52" t="s">
        <v>4</v>
      </c>
      <c r="B4" s="52">
        <f>COUNTIF($I$2:$I$370,"牛魔王")</f>
        <v>0</v>
      </c>
      <c r="C4" s="52" t="s">
        <v>11</v>
      </c>
      <c r="D4" s="4">
        <v>16</v>
      </c>
      <c r="E4" s="4" t="s">
        <v>59</v>
      </c>
      <c r="F4" s="4" t="str">
        <f t="shared" si="0"/>
        <v>橙16</v>
      </c>
      <c r="G4" s="4" t="s">
        <v>65</v>
      </c>
      <c r="H4" s="104" t="s">
        <v>103</v>
      </c>
      <c r="I4" s="105" t="s">
        <v>119</v>
      </c>
      <c r="J4" s="106" t="s">
        <v>121</v>
      </c>
      <c r="K4" s="105" t="s">
        <v>123</v>
      </c>
      <c r="M4" s="93" t="s">
        <v>484</v>
      </c>
      <c r="N4" s="94" t="str">
        <f t="shared" ref="N4:N67" si="1">IFERROR(VLOOKUP(M4,$A$2:$I$61,8,FALSE),"[]")</f>
        <v>紫金铃</v>
      </c>
      <c r="O4" s="94" t="str">
        <f t="shared" ref="O4:O67" si="2">IFERROR(VLOOKUP(M4,$A$2:$I$61,9,FALSE),"[]")</f>
        <v>阴阳镜</v>
      </c>
      <c r="P4" s="94" t="str">
        <f t="shared" ref="P4:P19" si="3">IFERROR(VLOOKUP(M4,$A$2:$K$61,10,FALSE),"[]")</f>
        <v>七星宣花铃</v>
      </c>
      <c r="Q4" s="94" t="str">
        <f t="shared" ref="Q4:Q19" si="4">IFERROR(VLOOKUP(M4,$A$2:$K$61,11,FALSE),"[]")</f>
        <v>太极清源镜</v>
      </c>
      <c r="R4" s="94">
        <f>IFERROR(VLOOKUP(N4,IF({1,0},$Y$12:$Y$21,$X$12:$X$21),2,0),"[]")</f>
        <v>12017</v>
      </c>
      <c r="S4" s="94">
        <f>IFERROR(VLOOKUP(O4,IF({1,0},$Y$12:$Y$21,$X$12:$X$21),2,0),"[]")</f>
        <v>12019</v>
      </c>
      <c r="T4" s="94">
        <f>IFERROR(VLOOKUP(P4,IF({1,0},$Y$12:$Y$25,$X$12:$X$25),2,0),"[]")</f>
        <v>12021</v>
      </c>
      <c r="U4" s="94">
        <f>IFERROR(VLOOKUP(Q4,IF({1,0},$Y$12:$Y$25,$X$12:$X$25),2,0),"[]")</f>
        <v>12023</v>
      </c>
      <c r="V4" s="94" t="str">
        <f t="shared" ref="V4:V43" si="5">R4&amp;","&amp;S4&amp;","&amp;T4&amp;","&amp;U4</f>
        <v>12017,12019,12021,12023</v>
      </c>
    </row>
    <row r="5" spans="1:26" ht="13.5" customHeight="1">
      <c r="A5" s="52" t="s">
        <v>26</v>
      </c>
      <c r="B5" s="52">
        <f>COUNTIF($I$2:$I$370,"铁扇公主")</f>
        <v>0</v>
      </c>
      <c r="C5" s="52" t="s">
        <v>11</v>
      </c>
      <c r="D5" s="4">
        <v>16</v>
      </c>
      <c r="E5" s="4" t="s">
        <v>59</v>
      </c>
      <c r="F5" s="4" t="str">
        <f t="shared" si="0"/>
        <v>橙16</v>
      </c>
      <c r="G5" s="4" t="s">
        <v>65</v>
      </c>
      <c r="H5" s="104" t="s">
        <v>103</v>
      </c>
      <c r="I5" s="105" t="s">
        <v>119</v>
      </c>
      <c r="J5" s="106" t="s">
        <v>121</v>
      </c>
      <c r="K5" s="105" t="s">
        <v>123</v>
      </c>
      <c r="M5" s="93" t="s">
        <v>29</v>
      </c>
      <c r="N5" s="94" t="str">
        <f t="shared" si="1"/>
        <v>紫金铃</v>
      </c>
      <c r="O5" s="94" t="str">
        <f t="shared" si="2"/>
        <v>阴阳镜</v>
      </c>
      <c r="P5" s="94" t="str">
        <f t="shared" si="3"/>
        <v>七星宣花铃</v>
      </c>
      <c r="Q5" s="94" t="str">
        <f t="shared" si="4"/>
        <v>太极清源镜</v>
      </c>
      <c r="R5" s="94">
        <f>IFERROR(VLOOKUP(N5,IF({1,0},$Y$12:$Y$21,$X$12:$X$21),2,0),"[]")</f>
        <v>12017</v>
      </c>
      <c r="S5" s="94">
        <f>IFERROR(VLOOKUP(O5,IF({1,0},$Y$12:$Y$21,$X$12:$X$21),2,0),"[]")</f>
        <v>12019</v>
      </c>
      <c r="T5" s="94">
        <f>IFERROR(VLOOKUP(P5,IF({1,0},$Y$12:$Y$25,$X$12:$X$25),2,0),"[]")</f>
        <v>12021</v>
      </c>
      <c r="U5" s="94">
        <f>IFERROR(VLOOKUP(Q5,IF({1,0},$Y$12:$Y$25,$X$12:$X$25),2,0),"[]")</f>
        <v>12023</v>
      </c>
      <c r="V5" s="94" t="str">
        <f t="shared" si="5"/>
        <v>12017,12019,12021,12023</v>
      </c>
      <c r="X5" s="104" t="s">
        <v>103</v>
      </c>
      <c r="Y5" s="105" t="s">
        <v>119</v>
      </c>
      <c r="Z5" s="94" t="s">
        <v>130</v>
      </c>
    </row>
    <row r="6" spans="1:26" ht="13.5" customHeight="1">
      <c r="A6" s="52" t="s">
        <v>138</v>
      </c>
      <c r="B6" s="52">
        <f>COUNTIF($I$2:$I$370,"虎力大仙")</f>
        <v>0</v>
      </c>
      <c r="C6" s="52" t="s">
        <v>12</v>
      </c>
      <c r="D6" s="4">
        <v>16</v>
      </c>
      <c r="E6" s="4" t="s">
        <v>59</v>
      </c>
      <c r="F6" s="4" t="str">
        <f t="shared" si="0"/>
        <v>橙16</v>
      </c>
      <c r="G6" s="4" t="s">
        <v>63</v>
      </c>
      <c r="H6" s="104" t="s">
        <v>118</v>
      </c>
      <c r="I6" s="105" t="s">
        <v>664</v>
      </c>
      <c r="J6" s="106" t="s">
        <v>122</v>
      </c>
      <c r="K6" s="105" t="s">
        <v>124</v>
      </c>
      <c r="M6" s="95" t="s">
        <v>33</v>
      </c>
      <c r="N6" s="94" t="str">
        <f t="shared" si="1"/>
        <v>幻光铃</v>
      </c>
      <c r="O6" s="94" t="str">
        <f>IFERROR(VLOOKUP(M6,$A$2:$I$61,9,FALSE),"[]")</f>
        <v>混元镜</v>
      </c>
      <c r="P6" s="94" t="str">
        <f t="shared" si="3"/>
        <v>天翎幻音铃</v>
      </c>
      <c r="Q6" s="94" t="str">
        <f t="shared" si="4"/>
        <v>羲皇八门镜</v>
      </c>
      <c r="R6" s="94">
        <f>IFERROR(VLOOKUP(N6,IF({1,0},$Y$12:$Y$21,$X$12:$X$21),2,0),"[]")</f>
        <v>12018</v>
      </c>
      <c r="S6" s="94">
        <f>IFERROR(VLOOKUP(O6,IF({1,0},$Y$12:$Y$21,$X$12:$X$21),2,0),"[]")</f>
        <v>12020</v>
      </c>
      <c r="T6" s="94">
        <f>IFERROR(VLOOKUP(P6,IF({1,0},$Y$12:$Y$25,$X$12:$X$25),2,0),"[]")</f>
        <v>12022</v>
      </c>
      <c r="U6" s="94">
        <f>IFERROR(VLOOKUP(Q6,IF({1,0},$Y$12:$Y$25,$X$12:$X$25),2,0),"[]")</f>
        <v>12024</v>
      </c>
      <c r="V6" s="94" t="str">
        <f t="shared" si="5"/>
        <v>12018,12020,12022,12024</v>
      </c>
      <c r="X6" s="104" t="s">
        <v>118</v>
      </c>
      <c r="Y6" s="105" t="s">
        <v>120</v>
      </c>
      <c r="Z6" s="94" t="s">
        <v>131</v>
      </c>
    </row>
    <row r="7" spans="1:26" ht="13.5" customHeight="1">
      <c r="A7" s="52" t="s">
        <v>22</v>
      </c>
      <c r="B7" s="52">
        <f>COUNTIF($I$2:$I$370,"猪八戒")</f>
        <v>0</v>
      </c>
      <c r="C7" s="52" t="s">
        <v>11</v>
      </c>
      <c r="D7" s="4">
        <v>16</v>
      </c>
      <c r="E7" s="4" t="s">
        <v>59</v>
      </c>
      <c r="F7" s="4" t="str">
        <f t="shared" si="0"/>
        <v>橙16</v>
      </c>
      <c r="G7" s="4" t="s">
        <v>63</v>
      </c>
      <c r="H7" s="104" t="s">
        <v>118</v>
      </c>
      <c r="I7" s="105" t="s">
        <v>120</v>
      </c>
      <c r="J7" s="106" t="s">
        <v>122</v>
      </c>
      <c r="K7" s="105" t="s">
        <v>124</v>
      </c>
      <c r="M7" s="93" t="s">
        <v>41</v>
      </c>
      <c r="N7" s="94" t="str">
        <f t="shared" si="1"/>
        <v>幻光铃</v>
      </c>
      <c r="O7" s="94" t="str">
        <f t="shared" si="2"/>
        <v>混元镜</v>
      </c>
      <c r="P7" s="94" t="str">
        <f t="shared" si="3"/>
        <v>天翎幻音铃</v>
      </c>
      <c r="Q7" s="94" t="str">
        <f t="shared" si="4"/>
        <v>羲皇八门镜</v>
      </c>
      <c r="R7" s="94">
        <f>IFERROR(VLOOKUP(N7,IF({1,0},$Y$12:$Y$21,$X$12:$X$21),2,0),"[]")</f>
        <v>12018</v>
      </c>
      <c r="S7" s="94">
        <f>IFERROR(VLOOKUP(O7,IF({1,0},$Y$12:$Y$21,$X$12:$X$21),2,0),"[]")</f>
        <v>12020</v>
      </c>
      <c r="T7" s="94">
        <f>IFERROR(VLOOKUP(P7,IF({1,0},$Y$12:$Y$25,$X$12:$X$25),2,0),"[]")</f>
        <v>12022</v>
      </c>
      <c r="U7" s="94">
        <f>IFERROR(VLOOKUP(Q7,IF({1,0},$Y$12:$Y$25,$X$12:$X$25),2,0),"[]")</f>
        <v>12024</v>
      </c>
      <c r="V7" s="94" t="str">
        <f t="shared" si="5"/>
        <v>12018,12020,12022,12024</v>
      </c>
    </row>
    <row r="8" spans="1:26" ht="13.5" customHeight="1">
      <c r="A8" s="53" t="s">
        <v>140</v>
      </c>
      <c r="B8" s="53">
        <f>COUNTIF($I$2:$I$370,"白骨夫人")</f>
        <v>0</v>
      </c>
      <c r="C8" s="53" t="s">
        <v>12</v>
      </c>
      <c r="D8" s="4">
        <v>13</v>
      </c>
      <c r="E8" s="4" t="s">
        <v>59</v>
      </c>
      <c r="F8" s="4" t="str">
        <f t="shared" si="0"/>
        <v>橙13</v>
      </c>
      <c r="G8" s="4" t="s">
        <v>68</v>
      </c>
      <c r="H8" s="104" t="s">
        <v>118</v>
      </c>
      <c r="I8" s="105" t="s">
        <v>120</v>
      </c>
      <c r="J8" s="106" t="s">
        <v>122</v>
      </c>
      <c r="K8" s="105" t="s">
        <v>124</v>
      </c>
      <c r="M8" s="93" t="s">
        <v>2</v>
      </c>
      <c r="N8" s="94" t="str">
        <f t="shared" si="1"/>
        <v>幻光铃</v>
      </c>
      <c r="O8" s="94" t="str">
        <f t="shared" si="2"/>
        <v>混元镜</v>
      </c>
      <c r="P8" s="94" t="str">
        <f t="shared" si="3"/>
        <v>天翎幻音铃</v>
      </c>
      <c r="Q8" s="94" t="str">
        <f t="shared" si="4"/>
        <v>羲皇八门镜</v>
      </c>
      <c r="R8" s="94">
        <f>IFERROR(VLOOKUP(N8,IF({1,0},$Y$12:$Y$21,$X$12:$X$21),2,0),"[]")</f>
        <v>12018</v>
      </c>
      <c r="S8" s="94">
        <f>IFERROR(VLOOKUP(O8,IF({1,0},$Y$12:$Y$21,$X$12:$X$21),2,0),"[]")</f>
        <v>12020</v>
      </c>
      <c r="T8" s="94">
        <f>IFERROR(VLOOKUP(P8,IF({1,0},$Y$12:$Y$25,$X$12:$X$25),2,0),"[]")</f>
        <v>12022</v>
      </c>
      <c r="U8" s="94">
        <f>IFERROR(VLOOKUP(Q8,IF({1,0},$Y$12:$Y$25,$X$12:$X$25),2,0),"[]")</f>
        <v>12024</v>
      </c>
      <c r="V8" s="94" t="str">
        <f t="shared" si="5"/>
        <v>12018,12020,12022,12024</v>
      </c>
      <c r="X8" s="106" t="s">
        <v>121</v>
      </c>
      <c r="Y8" s="105" t="s">
        <v>123</v>
      </c>
      <c r="Z8" s="94" t="s">
        <v>132</v>
      </c>
    </row>
    <row r="9" spans="1:26" ht="13.5" customHeight="1">
      <c r="A9" s="52" t="s">
        <v>153</v>
      </c>
      <c r="B9" s="52">
        <f>COUNTIF($I$2:$I$370,"羊力大仙")</f>
        <v>0</v>
      </c>
      <c r="C9" s="52" t="s">
        <v>12</v>
      </c>
      <c r="D9" s="4">
        <v>13</v>
      </c>
      <c r="E9" s="4" t="s">
        <v>59</v>
      </c>
      <c r="F9" s="4" t="str">
        <f t="shared" si="0"/>
        <v>橙13</v>
      </c>
      <c r="G9" s="4" t="s">
        <v>67</v>
      </c>
      <c r="H9" s="104" t="s">
        <v>118</v>
      </c>
      <c r="I9" s="105" t="s">
        <v>120</v>
      </c>
      <c r="J9" s="106" t="s">
        <v>122</v>
      </c>
      <c r="K9" s="105" t="s">
        <v>124</v>
      </c>
      <c r="M9" s="95" t="s">
        <v>181</v>
      </c>
      <c r="N9" s="94" t="str">
        <f t="shared" si="1"/>
        <v>幻光铃</v>
      </c>
      <c r="O9" s="94" t="str">
        <f t="shared" si="2"/>
        <v>混元镜</v>
      </c>
      <c r="P9" s="94" t="str">
        <f t="shared" si="3"/>
        <v>天翎幻音铃</v>
      </c>
      <c r="Q9" s="94" t="str">
        <f t="shared" si="4"/>
        <v>羲皇八门镜</v>
      </c>
      <c r="R9" s="94">
        <f>IFERROR(VLOOKUP(N9,IF({1,0},$Y$12:$Y$21,$X$12:$X$21),2,0),"[]")</f>
        <v>12018</v>
      </c>
      <c r="S9" s="94">
        <f>IFERROR(VLOOKUP(O9,IF({1,0},$Y$12:$Y$21,$X$12:$X$21),2,0),"[]")</f>
        <v>12020</v>
      </c>
      <c r="T9" s="94">
        <f>IFERROR(VLOOKUP(P9,IF({1,0},$Y$12:$Y$25,$X$12:$X$25),2,0),"[]")</f>
        <v>12022</v>
      </c>
      <c r="U9" s="94">
        <f>IFERROR(VLOOKUP(Q9,IF({1,0},$Y$12:$Y$25,$X$12:$X$25),2,0),"[]")</f>
        <v>12024</v>
      </c>
      <c r="V9" s="94" t="str">
        <f t="shared" si="5"/>
        <v>12018,12020,12022,12024</v>
      </c>
      <c r="X9" s="106" t="s">
        <v>122</v>
      </c>
      <c r="Y9" s="105" t="s">
        <v>124</v>
      </c>
      <c r="Z9" s="94" t="s">
        <v>133</v>
      </c>
    </row>
    <row r="10" spans="1:26" ht="13.5" customHeight="1">
      <c r="A10" s="53" t="s">
        <v>24</v>
      </c>
      <c r="B10" s="53">
        <f>COUNTIF($I$2:$I$370,"六耳猕猴")</f>
        <v>0</v>
      </c>
      <c r="C10" s="53" t="s">
        <v>11</v>
      </c>
      <c r="D10" s="4">
        <v>13</v>
      </c>
      <c r="E10" s="4" t="s">
        <v>59</v>
      </c>
      <c r="F10" s="4" t="str">
        <f t="shared" si="0"/>
        <v>橙13</v>
      </c>
      <c r="G10" s="4" t="s">
        <v>65</v>
      </c>
      <c r="H10" s="104" t="s">
        <v>103</v>
      </c>
      <c r="I10" s="105" t="s">
        <v>660</v>
      </c>
      <c r="J10" s="106" t="s">
        <v>121</v>
      </c>
      <c r="K10" s="105" t="s">
        <v>123</v>
      </c>
      <c r="M10" s="95" t="s">
        <v>42</v>
      </c>
      <c r="N10" s="94" t="str">
        <f t="shared" si="1"/>
        <v>幻光铃</v>
      </c>
      <c r="O10" s="94" t="str">
        <f t="shared" si="2"/>
        <v>混元镜</v>
      </c>
      <c r="P10" s="94" t="str">
        <f t="shared" si="3"/>
        <v>天翎幻音铃</v>
      </c>
      <c r="Q10" s="94" t="str">
        <f t="shared" si="4"/>
        <v>羲皇八门镜</v>
      </c>
      <c r="R10" s="94">
        <f>IFERROR(VLOOKUP(N10,IF({1,0},$Y$12:$Y$21,$X$12:$X$21),2,0),"[]")</f>
        <v>12018</v>
      </c>
      <c r="S10" s="94">
        <f>IFERROR(VLOOKUP(O10,IF({1,0},$Y$12:$Y$21,$X$12:$X$21),2,0),"[]")</f>
        <v>12020</v>
      </c>
      <c r="T10" s="94">
        <f>IFERROR(VLOOKUP(P10,IF({1,0},$Y$12:$Y$25,$X$12:$X$25),2,0),"[]")</f>
        <v>12022</v>
      </c>
      <c r="U10" s="94">
        <f>IFERROR(VLOOKUP(Q10,IF({1,0},$Y$12:$Y$25,$X$12:$X$25),2,0),"[]")</f>
        <v>12024</v>
      </c>
      <c r="V10" s="94" t="str">
        <f t="shared" si="5"/>
        <v>12018,12020,12022,12024</v>
      </c>
    </row>
    <row r="11" spans="1:26" ht="13.5" customHeight="1">
      <c r="A11" s="53" t="s">
        <v>152</v>
      </c>
      <c r="B11" s="53">
        <f>COUNTIF($I$2:$I$370,"鹿力大仙")</f>
        <v>0</v>
      </c>
      <c r="C11" s="53" t="s">
        <v>11</v>
      </c>
      <c r="D11" s="4">
        <v>13</v>
      </c>
      <c r="E11" s="4" t="s">
        <v>59</v>
      </c>
      <c r="F11" s="4" t="str">
        <f t="shared" si="0"/>
        <v>橙13</v>
      </c>
      <c r="G11" s="4" t="s">
        <v>65</v>
      </c>
      <c r="H11" s="104" t="s">
        <v>103</v>
      </c>
      <c r="I11" s="105" t="s">
        <v>119</v>
      </c>
      <c r="J11" s="106" t="s">
        <v>121</v>
      </c>
      <c r="K11" s="105" t="s">
        <v>123</v>
      </c>
      <c r="M11" s="96" t="s">
        <v>182</v>
      </c>
      <c r="N11" s="94" t="str">
        <f t="shared" si="1"/>
        <v>幻光铃</v>
      </c>
      <c r="O11" s="94" t="str">
        <f t="shared" si="2"/>
        <v>混元镜</v>
      </c>
      <c r="P11" s="94" t="str">
        <f t="shared" si="3"/>
        <v>天翎幻音铃</v>
      </c>
      <c r="Q11" s="94" t="str">
        <f t="shared" si="4"/>
        <v>羲皇八门镜</v>
      </c>
      <c r="R11" s="94">
        <f>IFERROR(VLOOKUP(N11,IF({1,0},$Y$12:$Y$21,$X$12:$X$21),2,0),"[]")</f>
        <v>12018</v>
      </c>
      <c r="S11" s="94">
        <f>IFERROR(VLOOKUP(O11,IF({1,0},$Y$12:$Y$21,$X$12:$X$21),2,0),"[]")</f>
        <v>12020</v>
      </c>
      <c r="T11" s="94">
        <f>IFERROR(VLOOKUP(P11,IF({1,0},$Y$12:$Y$25,$X$12:$X$25),2,0),"[]")</f>
        <v>12022</v>
      </c>
      <c r="U11" s="94">
        <f>IFERROR(VLOOKUP(Q11,IF({1,0},$Y$12:$Y$25,$X$12:$X$25),2,0),"[]")</f>
        <v>12024</v>
      </c>
      <c r="V11" s="94" t="str">
        <f t="shared" si="5"/>
        <v>12018,12020,12022,12024</v>
      </c>
    </row>
    <row r="12" spans="1:26" ht="13.5" customHeight="1">
      <c r="A12" s="53" t="s">
        <v>83</v>
      </c>
      <c r="B12" s="53">
        <f>COUNTIF($I$2:$I$370,"混世魔王")</f>
        <v>0</v>
      </c>
      <c r="C12" s="53" t="s">
        <v>11</v>
      </c>
      <c r="D12" s="4">
        <v>13</v>
      </c>
      <c r="E12" s="4" t="s">
        <v>59</v>
      </c>
      <c r="F12" s="4" t="str">
        <f t="shared" si="0"/>
        <v>橙13</v>
      </c>
      <c r="G12" s="4" t="s">
        <v>63</v>
      </c>
      <c r="H12" s="104" t="s">
        <v>118</v>
      </c>
      <c r="I12" s="105" t="s">
        <v>120</v>
      </c>
      <c r="J12" s="106" t="s">
        <v>122</v>
      </c>
      <c r="K12" s="105" t="s">
        <v>124</v>
      </c>
      <c r="M12" s="93" t="s">
        <v>3</v>
      </c>
      <c r="N12" s="94" t="str">
        <f t="shared" si="1"/>
        <v>紫金铃</v>
      </c>
      <c r="O12" s="94" t="str">
        <f t="shared" si="2"/>
        <v>阴阳镜</v>
      </c>
      <c r="P12" s="94" t="str">
        <f t="shared" si="3"/>
        <v>七星宣花铃</v>
      </c>
      <c r="Q12" s="94" t="str">
        <f t="shared" si="4"/>
        <v>太极清源镜</v>
      </c>
      <c r="R12" s="94">
        <f>IFERROR(VLOOKUP(N12,IF({1,0},$Y$12:$Y$21,$X$12:$X$21),2,0),"[]")</f>
        <v>12017</v>
      </c>
      <c r="S12" s="94">
        <f>IFERROR(VLOOKUP(O12,IF({1,0},$Y$12:$Y$21,$X$12:$X$21),2,0),"[]")</f>
        <v>12019</v>
      </c>
      <c r="T12" s="94">
        <f>IFERROR(VLOOKUP(P12,IF({1,0},$Y$12:$Y$25,$X$12:$X$25),2,0),"[]")</f>
        <v>12021</v>
      </c>
      <c r="U12" s="94">
        <f>IFERROR(VLOOKUP(Q12,IF({1,0},$Y$12:$Y$25,$X$12:$X$25),2,0),"[]")</f>
        <v>12023</v>
      </c>
      <c r="V12" s="94" t="str">
        <f t="shared" si="5"/>
        <v>12017,12019,12021,12023</v>
      </c>
      <c r="X12" s="97">
        <v>12011</v>
      </c>
      <c r="Y12" s="104" t="s">
        <v>532</v>
      </c>
    </row>
    <row r="13" spans="1:26" ht="13.5" customHeight="1">
      <c r="A13" s="53" t="s">
        <v>17</v>
      </c>
      <c r="B13" s="53">
        <f>COUNTIF($I$2:$I$370,"蝎子精")</f>
        <v>0</v>
      </c>
      <c r="C13" s="53" t="s">
        <v>11</v>
      </c>
      <c r="D13" s="4">
        <v>13</v>
      </c>
      <c r="E13" s="4" t="s">
        <v>59</v>
      </c>
      <c r="F13" s="4" t="str">
        <f t="shared" si="0"/>
        <v>橙13</v>
      </c>
      <c r="G13" s="4" t="s">
        <v>65</v>
      </c>
      <c r="H13" s="104" t="s">
        <v>103</v>
      </c>
      <c r="I13" s="105" t="s">
        <v>119</v>
      </c>
      <c r="J13" s="106" t="s">
        <v>121</v>
      </c>
      <c r="K13" s="105" t="s">
        <v>123</v>
      </c>
      <c r="M13" s="93" t="s">
        <v>0</v>
      </c>
      <c r="N13" s="94" t="str">
        <f t="shared" si="1"/>
        <v>紫金铃</v>
      </c>
      <c r="O13" s="94" t="str">
        <f t="shared" si="2"/>
        <v>阴阳镜</v>
      </c>
      <c r="P13" s="94" t="str">
        <f t="shared" si="3"/>
        <v>七星宣花铃</v>
      </c>
      <c r="Q13" s="94" t="str">
        <f t="shared" si="4"/>
        <v>太极清源镜</v>
      </c>
      <c r="R13" s="94">
        <f>IFERROR(VLOOKUP(N13,IF({1,0},$Y$12:$Y$21,$X$12:$X$21),2,0),"[]")</f>
        <v>12017</v>
      </c>
      <c r="S13" s="94">
        <f>IFERROR(VLOOKUP(O13,IF({1,0},$Y$12:$Y$21,$X$12:$X$21),2,0),"[]")</f>
        <v>12019</v>
      </c>
      <c r="T13" s="94">
        <f>IFERROR(VLOOKUP(P13,IF({1,0},$Y$12:$Y$25,$X$12:$X$25),2,0),"[]")</f>
        <v>12021</v>
      </c>
      <c r="U13" s="94">
        <f>IFERROR(VLOOKUP(Q13,IF({1,0},$Y$12:$Y$25,$X$12:$X$25),2,0),"[]")</f>
        <v>12023</v>
      </c>
      <c r="V13" s="94" t="str">
        <f t="shared" si="5"/>
        <v>12017,12019,12021,12023</v>
      </c>
      <c r="X13" s="97">
        <v>12012</v>
      </c>
      <c r="Y13" s="105" t="s">
        <v>533</v>
      </c>
    </row>
    <row r="14" spans="1:26" ht="13.5" customHeight="1">
      <c r="A14" s="53" t="s">
        <v>28</v>
      </c>
      <c r="B14" s="53">
        <f>COUNTIF($I$2:$I$370,"蜘蛛精")</f>
        <v>0</v>
      </c>
      <c r="C14" s="53" t="s">
        <v>11</v>
      </c>
      <c r="D14" s="4">
        <v>13</v>
      </c>
      <c r="E14" s="4" t="s">
        <v>59</v>
      </c>
      <c r="F14" s="4" t="str">
        <f t="shared" si="0"/>
        <v>橙13</v>
      </c>
      <c r="G14" s="4" t="s">
        <v>65</v>
      </c>
      <c r="H14" s="104" t="s">
        <v>103</v>
      </c>
      <c r="I14" s="105" t="s">
        <v>119</v>
      </c>
      <c r="J14" s="106" t="s">
        <v>121</v>
      </c>
      <c r="K14" s="105" t="s">
        <v>123</v>
      </c>
      <c r="M14" s="93" t="s">
        <v>13</v>
      </c>
      <c r="N14" s="94" t="str">
        <f t="shared" si="1"/>
        <v>紫金铃</v>
      </c>
      <c r="O14" s="94" t="str">
        <f t="shared" si="2"/>
        <v>阴阳镜</v>
      </c>
      <c r="P14" s="94" t="str">
        <f t="shared" si="3"/>
        <v>七星宣花铃</v>
      </c>
      <c r="Q14" s="94" t="str">
        <f t="shared" si="4"/>
        <v>太极清源镜</v>
      </c>
      <c r="R14" s="94">
        <f>IFERROR(VLOOKUP(N14,IF({1,0},$Y$12:$Y$21,$X$12:$X$21),2,0),"[]")</f>
        <v>12017</v>
      </c>
      <c r="S14" s="94">
        <f>IFERROR(VLOOKUP(O14,IF({1,0},$Y$12:$Y$21,$X$12:$X$21),2,0),"[]")</f>
        <v>12019</v>
      </c>
      <c r="T14" s="94">
        <f>IFERROR(VLOOKUP(P14,IF({1,0},$Y$12:$Y$25,$X$12:$X$25),2,0),"[]")</f>
        <v>12021</v>
      </c>
      <c r="U14" s="94">
        <f>IFERROR(VLOOKUP(Q14,IF({1,0},$Y$12:$Y$25,$X$12:$X$25),2,0),"[]")</f>
        <v>12023</v>
      </c>
      <c r="V14" s="94" t="str">
        <f t="shared" si="5"/>
        <v>12017,12019,12021,12023</v>
      </c>
      <c r="X14" s="97">
        <v>12013</v>
      </c>
      <c r="Y14" s="104" t="s">
        <v>534</v>
      </c>
    </row>
    <row r="15" spans="1:26" ht="13.5" customHeight="1">
      <c r="A15" s="53" t="s">
        <v>143</v>
      </c>
      <c r="B15" s="53">
        <f>COUNTIF($I$2:$I$370,"彩蝶仙童")</f>
        <v>0</v>
      </c>
      <c r="C15" s="53" t="s">
        <v>11</v>
      </c>
      <c r="D15" s="4">
        <v>13</v>
      </c>
      <c r="E15" s="4" t="s">
        <v>59</v>
      </c>
      <c r="F15" s="4" t="str">
        <f t="shared" si="0"/>
        <v>橙13</v>
      </c>
      <c r="G15" s="4" t="s">
        <v>68</v>
      </c>
      <c r="H15" s="104" t="s">
        <v>118</v>
      </c>
      <c r="I15" s="105" t="s">
        <v>120</v>
      </c>
      <c r="J15" s="106" t="s">
        <v>122</v>
      </c>
      <c r="K15" s="105" t="s">
        <v>124</v>
      </c>
      <c r="M15" s="96" t="s">
        <v>185</v>
      </c>
      <c r="N15" s="94" t="str">
        <f t="shared" si="1"/>
        <v>紫金铃</v>
      </c>
      <c r="O15" s="94" t="str">
        <f t="shared" si="2"/>
        <v>阴阳镜</v>
      </c>
      <c r="P15" s="94" t="str">
        <f t="shared" si="3"/>
        <v>七星宣花铃</v>
      </c>
      <c r="Q15" s="94" t="str">
        <f t="shared" si="4"/>
        <v>太极清源镜</v>
      </c>
      <c r="R15" s="94">
        <f>IFERROR(VLOOKUP(N15,IF({1,0},$Y$12:$Y$21,$X$12:$X$21),2,0),"[]")</f>
        <v>12017</v>
      </c>
      <c r="S15" s="94">
        <f>IFERROR(VLOOKUP(O15,IF({1,0},$Y$12:$Y$21,$X$12:$X$21),2,0),"[]")</f>
        <v>12019</v>
      </c>
      <c r="T15" s="94">
        <f>IFERROR(VLOOKUP(P15,IF({1,0},$Y$12:$Y$25,$X$12:$X$25),2,0),"[]")</f>
        <v>12021</v>
      </c>
      <c r="U15" s="94">
        <f>IFERROR(VLOOKUP(Q15,IF({1,0},$Y$12:$Y$25,$X$12:$X$25),2,0),"[]")</f>
        <v>12023</v>
      </c>
      <c r="V15" s="94" t="str">
        <f t="shared" si="5"/>
        <v>12017,12019,12021,12023</v>
      </c>
      <c r="X15" s="97">
        <v>12014</v>
      </c>
      <c r="Y15" s="106" t="s">
        <v>535</v>
      </c>
    </row>
    <row r="16" spans="1:26" ht="13.5" customHeight="1">
      <c r="A16" s="46" t="s">
        <v>147</v>
      </c>
      <c r="B16" s="46">
        <f>COUNTIF($I$2:$I$370,"金钱豹王")</f>
        <v>0</v>
      </c>
      <c r="C16" s="46" t="s">
        <v>18</v>
      </c>
      <c r="D16" s="4">
        <v>11</v>
      </c>
      <c r="E16" s="4" t="s">
        <v>59</v>
      </c>
      <c r="F16" s="4" t="str">
        <f t="shared" si="0"/>
        <v>紫11</v>
      </c>
      <c r="G16" s="4" t="s">
        <v>65</v>
      </c>
      <c r="H16" s="104" t="s">
        <v>666</v>
      </c>
      <c r="I16" s="105" t="s">
        <v>667</v>
      </c>
      <c r="M16" s="93" t="s">
        <v>46</v>
      </c>
      <c r="N16" s="94" t="str">
        <f t="shared" si="1"/>
        <v>紫金铃</v>
      </c>
      <c r="O16" s="94" t="str">
        <f t="shared" si="2"/>
        <v>阴阳镜</v>
      </c>
      <c r="P16" s="94" t="str">
        <f t="shared" si="3"/>
        <v>七星宣花铃</v>
      </c>
      <c r="Q16" s="94" t="str">
        <f t="shared" si="4"/>
        <v>太极清源镜</v>
      </c>
      <c r="R16" s="94">
        <f>IFERROR(VLOOKUP(N16,IF({1,0},$Y$12:$Y$21,$X$12:$X$21),2,0),"[]")</f>
        <v>12017</v>
      </c>
      <c r="S16" s="94">
        <f>IFERROR(VLOOKUP(O16,IF({1,0},$Y$12:$Y$21,$X$12:$X$21),2,0),"[]")</f>
        <v>12019</v>
      </c>
      <c r="T16" s="94">
        <f>IFERROR(VLOOKUP(P16,IF({1,0},$Y$12:$Y$25,$X$12:$X$25),2,0),"[]")</f>
        <v>12021</v>
      </c>
      <c r="U16" s="94">
        <f>IFERROR(VLOOKUP(Q16,IF({1,0},$Y$12:$Y$25,$X$12:$X$25),2,0),"[]")</f>
        <v>12023</v>
      </c>
      <c r="V16" s="94" t="str">
        <f t="shared" si="5"/>
        <v>12017,12019,12021,12023</v>
      </c>
      <c r="X16" s="97">
        <v>12015</v>
      </c>
      <c r="Y16" s="105" t="s">
        <v>536</v>
      </c>
    </row>
    <row r="17" spans="1:25" ht="13.5" customHeight="1">
      <c r="A17" s="46" t="s">
        <v>148</v>
      </c>
      <c r="B17" s="46">
        <f>COUNTIF($I$2:$I$370,"墨鱼精")</f>
        <v>0</v>
      </c>
      <c r="C17" s="46" t="s">
        <v>18</v>
      </c>
      <c r="D17" s="4">
        <v>11</v>
      </c>
      <c r="E17" s="4" t="s">
        <v>59</v>
      </c>
      <c r="F17" s="4" t="str">
        <f t="shared" si="0"/>
        <v>紫11</v>
      </c>
      <c r="G17" s="4" t="s">
        <v>65</v>
      </c>
      <c r="H17" s="104" t="s">
        <v>114</v>
      </c>
      <c r="I17" s="105" t="s">
        <v>116</v>
      </c>
      <c r="M17" s="95" t="s">
        <v>187</v>
      </c>
      <c r="N17" s="94" t="str">
        <f t="shared" si="1"/>
        <v>幻光铃</v>
      </c>
      <c r="O17" s="94" t="str">
        <f t="shared" si="2"/>
        <v>混元镜</v>
      </c>
      <c r="P17" s="94" t="str">
        <f t="shared" si="3"/>
        <v>天翎幻音铃</v>
      </c>
      <c r="Q17" s="94" t="str">
        <f t="shared" si="4"/>
        <v>羲皇八门镜</v>
      </c>
      <c r="R17" s="94">
        <f>IFERROR(VLOOKUP(N17,IF({1,0},$Y$12:$Y$21,$X$12:$X$21),2,0),"[]")</f>
        <v>12018</v>
      </c>
      <c r="S17" s="94">
        <f>IFERROR(VLOOKUP(O17,IF({1,0},$Y$12:$Y$21,$X$12:$X$21),2,0),"[]")</f>
        <v>12020</v>
      </c>
      <c r="T17" s="94">
        <f>IFERROR(VLOOKUP(P17,IF({1,0},$Y$12:$Y$25,$X$12:$X$25),2,0),"[]")</f>
        <v>12022</v>
      </c>
      <c r="U17" s="94">
        <f>IFERROR(VLOOKUP(Q17,IF({1,0},$Y$12:$Y$25,$X$12:$X$25),2,0),"[]")</f>
        <v>12024</v>
      </c>
      <c r="V17" s="94" t="str">
        <f t="shared" si="5"/>
        <v>12018,12020,12022,12024</v>
      </c>
      <c r="X17" s="97">
        <v>12016</v>
      </c>
      <c r="Y17" s="105" t="s">
        <v>537</v>
      </c>
    </row>
    <row r="18" spans="1:25" ht="13.5" customHeight="1">
      <c r="A18" s="46" t="s">
        <v>149</v>
      </c>
      <c r="B18" s="46">
        <f>COUNTIF($I$2:$I$370,"玉面夫人")</f>
        <v>0</v>
      </c>
      <c r="C18" s="46" t="s">
        <v>18</v>
      </c>
      <c r="D18" s="4">
        <v>11</v>
      </c>
      <c r="E18" s="4" t="s">
        <v>59</v>
      </c>
      <c r="F18" s="4" t="str">
        <f t="shared" si="0"/>
        <v>紫11</v>
      </c>
      <c r="G18" s="4" t="s">
        <v>68</v>
      </c>
      <c r="H18" s="106" t="s">
        <v>668</v>
      </c>
      <c r="I18" s="105" t="s">
        <v>663</v>
      </c>
      <c r="M18" s="95" t="s">
        <v>40</v>
      </c>
      <c r="N18" s="94" t="str">
        <f t="shared" si="1"/>
        <v>紫金铃</v>
      </c>
      <c r="O18" s="94" t="str">
        <f t="shared" si="2"/>
        <v>阴阳镜</v>
      </c>
      <c r="P18" s="94" t="str">
        <f>IFERROR(VLOOKUP(M18,$A$2:$K$61,10,FALSE),"[]")</f>
        <v>七星宣花铃</v>
      </c>
      <c r="Q18" s="94" t="str">
        <f t="shared" si="4"/>
        <v>太极清源镜</v>
      </c>
      <c r="R18" s="94">
        <f>IFERROR(VLOOKUP(N18,IF({1,0},$Y$12:$Y$21,$X$12:$X$21),2,0),"[]")</f>
        <v>12017</v>
      </c>
      <c r="S18" s="94">
        <f>IFERROR(VLOOKUP(O18,IF({1,0},$Y$12:$Y$21,$X$12:$X$21),2,0),"[]")</f>
        <v>12019</v>
      </c>
      <c r="T18" s="94">
        <f>IFERROR(VLOOKUP(P18,IF({1,0},$Y$12:$Y$25,$X$12:$X$25),2,0),"[]")</f>
        <v>12021</v>
      </c>
      <c r="U18" s="94">
        <f>IFERROR(VLOOKUP(Q18,IF({1,0},$Y$12:$Y$25,$X$12:$X$25),2,0),"[]")</f>
        <v>12023</v>
      </c>
      <c r="V18" s="94" t="str">
        <f t="shared" si="5"/>
        <v>12017,12019,12021,12023</v>
      </c>
      <c r="X18" s="97">
        <v>12017</v>
      </c>
      <c r="Y18" s="104" t="s">
        <v>519</v>
      </c>
    </row>
    <row r="19" spans="1:25" ht="13.5" customHeight="1">
      <c r="A19" s="46" t="s">
        <v>82</v>
      </c>
      <c r="B19" s="46">
        <f>COUNTIF($I$2:$I$370,"扇子精")</f>
        <v>0</v>
      </c>
      <c r="C19" s="46" t="s">
        <v>18</v>
      </c>
      <c r="D19" s="4">
        <v>11</v>
      </c>
      <c r="E19" s="4" t="s">
        <v>59</v>
      </c>
      <c r="F19" s="4" t="str">
        <f t="shared" si="0"/>
        <v>紫11</v>
      </c>
      <c r="G19" s="4" t="s">
        <v>65</v>
      </c>
      <c r="H19" s="104" t="s">
        <v>114</v>
      </c>
      <c r="I19" s="105" t="s">
        <v>116</v>
      </c>
      <c r="M19" s="95" t="s">
        <v>44</v>
      </c>
      <c r="N19" s="94" t="str">
        <f t="shared" si="1"/>
        <v>紫金铃</v>
      </c>
      <c r="O19" s="94" t="str">
        <f t="shared" si="2"/>
        <v>阴阳镜</v>
      </c>
      <c r="P19" s="94" t="str">
        <f t="shared" si="3"/>
        <v>七星宣花铃</v>
      </c>
      <c r="Q19" s="94" t="str">
        <f t="shared" si="4"/>
        <v>太极清源镜</v>
      </c>
      <c r="R19" s="94">
        <f>IFERROR(VLOOKUP(N19,IF({1,0},$Y$12:$Y$21,$X$12:$X$21),2,0),"[]")</f>
        <v>12017</v>
      </c>
      <c r="S19" s="94">
        <f>IFERROR(VLOOKUP(O19,IF({1,0},$Y$12:$Y$21,$X$12:$X$21),2,0),"[]")</f>
        <v>12019</v>
      </c>
      <c r="T19" s="94">
        <f>IFERROR(VLOOKUP(P19,IF({1,0},$Y$12:$Y$25,$X$12:$X$25),2,0),"[]")</f>
        <v>12021</v>
      </c>
      <c r="U19" s="94">
        <f>IFERROR(VLOOKUP(Q19,IF({1,0},$Y$12:$Y$25,$X$12:$X$25),2,0),"[]")</f>
        <v>12023</v>
      </c>
      <c r="V19" s="94" t="str">
        <f t="shared" si="5"/>
        <v>12017,12019,12021,12023</v>
      </c>
      <c r="X19" s="97">
        <v>12018</v>
      </c>
      <c r="Y19" s="104" t="s">
        <v>538</v>
      </c>
    </row>
    <row r="20" spans="1:25" ht="13.5" customHeight="1">
      <c r="A20" s="47" t="s">
        <v>158</v>
      </c>
      <c r="B20" s="46">
        <f>COUNTIF($I$2:$I$370,"玉兔")</f>
        <v>0</v>
      </c>
      <c r="C20" s="47" t="s">
        <v>18</v>
      </c>
      <c r="D20" s="35">
        <v>11</v>
      </c>
      <c r="E20" s="35" t="s">
        <v>58</v>
      </c>
      <c r="F20" s="35" t="str">
        <f t="shared" si="0"/>
        <v>紫11</v>
      </c>
      <c r="G20" s="35" t="s">
        <v>67</v>
      </c>
      <c r="H20" s="106" t="s">
        <v>115</v>
      </c>
      <c r="I20" s="105" t="s">
        <v>117</v>
      </c>
      <c r="M20" s="93" t="s">
        <v>7</v>
      </c>
      <c r="N20" s="94" t="str">
        <f t="shared" si="1"/>
        <v>幻光铃</v>
      </c>
      <c r="O20" s="94" t="str">
        <f t="shared" si="2"/>
        <v>混元镜</v>
      </c>
      <c r="P20" s="94" t="str">
        <f t="shared" ref="P20:P83" si="6">IFERROR(VLOOKUP(M20,$A$2:$K$61,10,FALSE),"[]")</f>
        <v>天翎幻音铃</v>
      </c>
      <c r="Q20" s="94" t="str">
        <f t="shared" ref="Q20:Q83" si="7">IFERROR(VLOOKUP(M20,$A$2:$K$61,11,FALSE),"[]")</f>
        <v>羲皇八门镜</v>
      </c>
      <c r="R20" s="94">
        <f>IFERROR(VLOOKUP(N20,IF({1,0},$Y$12:$Y$21,$X$12:$X$21),2,0),"[]")</f>
        <v>12018</v>
      </c>
      <c r="S20" s="94">
        <f>IFERROR(VLOOKUP(O20,IF({1,0},$Y$12:$Y$21,$X$12:$X$21),2,0),"[]")</f>
        <v>12020</v>
      </c>
      <c r="T20" s="94">
        <f>IFERROR(VLOOKUP(P20,IF({1,0},$Y$12:$Y$25,$X$12:$X$25),2,0),"[]")</f>
        <v>12022</v>
      </c>
      <c r="U20" s="94">
        <f>IFERROR(VLOOKUP(Q20,IF({1,0},$Y$12:$Y$25,$X$12:$X$25),2,0),"[]")</f>
        <v>12024</v>
      </c>
      <c r="V20" s="94" t="str">
        <f t="shared" si="5"/>
        <v>12018,12020,12022,12024</v>
      </c>
      <c r="X20" s="97">
        <v>12019</v>
      </c>
      <c r="Y20" s="105" t="s">
        <v>539</v>
      </c>
    </row>
    <row r="21" spans="1:25" ht="13.5" customHeight="1">
      <c r="A21" s="47" t="s">
        <v>161</v>
      </c>
      <c r="B21" s="46">
        <f>COUNTIF($I$2:$I$370,"蟹将")</f>
        <v>0</v>
      </c>
      <c r="C21" s="47" t="s">
        <v>18</v>
      </c>
      <c r="D21" s="35">
        <v>11</v>
      </c>
      <c r="E21" s="35" t="s">
        <v>58</v>
      </c>
      <c r="F21" s="35" t="str">
        <f t="shared" si="0"/>
        <v>紫11</v>
      </c>
      <c r="G21" s="35" t="s">
        <v>67</v>
      </c>
      <c r="H21" s="106" t="s">
        <v>636</v>
      </c>
      <c r="I21" s="105" t="s">
        <v>117</v>
      </c>
      <c r="M21" s="96" t="s">
        <v>189</v>
      </c>
      <c r="N21" s="94" t="str">
        <f t="shared" si="1"/>
        <v>幻光铃</v>
      </c>
      <c r="O21" s="94" t="str">
        <f t="shared" si="2"/>
        <v>混元镜</v>
      </c>
      <c r="P21" s="94" t="str">
        <f t="shared" si="6"/>
        <v>天翎幻音铃</v>
      </c>
      <c r="Q21" s="94" t="str">
        <f t="shared" si="7"/>
        <v>羲皇八门镜</v>
      </c>
      <c r="R21" s="94">
        <f>IFERROR(VLOOKUP(N21,IF({1,0},$Y$12:$Y$21,$X$12:$X$21),2,0),"[]")</f>
        <v>12018</v>
      </c>
      <c r="S21" s="94">
        <f>IFERROR(VLOOKUP(O21,IF({1,0},$Y$12:$Y$21,$X$12:$X$21),2,0),"[]")</f>
        <v>12020</v>
      </c>
      <c r="T21" s="94">
        <f>IFERROR(VLOOKUP(P21,IF({1,0},$Y$12:$Y$25,$X$12:$X$25),2,0),"[]")</f>
        <v>12022</v>
      </c>
      <c r="U21" s="94">
        <f>IFERROR(VLOOKUP(Q21,IF({1,0},$Y$12:$Y$25,$X$12:$X$25),2,0),"[]")</f>
        <v>12024</v>
      </c>
      <c r="V21" s="94" t="str">
        <f t="shared" si="5"/>
        <v>12018,12020,12022,12024</v>
      </c>
      <c r="X21" s="97">
        <v>12020</v>
      </c>
      <c r="Y21" s="105" t="s">
        <v>540</v>
      </c>
    </row>
    <row r="22" spans="1:25" ht="13.5" customHeight="1">
      <c r="A22" s="118" t="s">
        <v>30</v>
      </c>
      <c r="B22" s="118"/>
      <c r="C22" s="118" t="s">
        <v>11</v>
      </c>
      <c r="D22" s="5">
        <v>16</v>
      </c>
      <c r="E22" s="5" t="s">
        <v>58</v>
      </c>
      <c r="F22" s="5" t="str">
        <f t="shared" si="0"/>
        <v>橙16</v>
      </c>
      <c r="G22" s="5" t="s">
        <v>66</v>
      </c>
      <c r="H22" s="104" t="s">
        <v>103</v>
      </c>
      <c r="I22" s="105" t="s">
        <v>119</v>
      </c>
      <c r="J22" s="106" t="s">
        <v>121</v>
      </c>
      <c r="K22" s="105" t="s">
        <v>123</v>
      </c>
      <c r="M22" s="93" t="s">
        <v>168</v>
      </c>
      <c r="N22" s="94" t="str">
        <f t="shared" si="1"/>
        <v>紫金铃</v>
      </c>
      <c r="O22" s="94" t="str">
        <f t="shared" si="2"/>
        <v>阴阳镜</v>
      </c>
      <c r="P22" s="94" t="str">
        <f t="shared" si="6"/>
        <v>七星宣花铃</v>
      </c>
      <c r="Q22" s="94" t="str">
        <f t="shared" si="7"/>
        <v>太极清源镜</v>
      </c>
      <c r="R22" s="94">
        <f>IFERROR(VLOOKUP(N22,IF({1,0},$Y$12:$Y$21,$X$12:$X$21),2,0),"[]")</f>
        <v>12017</v>
      </c>
      <c r="S22" s="94">
        <f>IFERROR(VLOOKUP(O22,IF({1,0},$Y$12:$Y$21,$X$12:$X$21),2,0),"[]")</f>
        <v>12019</v>
      </c>
      <c r="T22" s="94">
        <f>IFERROR(VLOOKUP(P22,IF({1,0},$Y$12:$Y$25,$X$12:$X$25),2,0),"[]")</f>
        <v>12021</v>
      </c>
      <c r="U22" s="94">
        <f>IFERROR(VLOOKUP(Q22,IF({1,0},$Y$12:$Y$25,$X$12:$X$25),2,0),"[]")</f>
        <v>12023</v>
      </c>
      <c r="V22" s="94" t="str">
        <f t="shared" si="5"/>
        <v>12017,12019,12021,12023</v>
      </c>
      <c r="X22" s="97">
        <v>12021</v>
      </c>
      <c r="Y22" s="107" t="s">
        <v>121</v>
      </c>
    </row>
    <row r="23" spans="1:25" ht="13.5" customHeight="1">
      <c r="A23" s="118" t="s">
        <v>14</v>
      </c>
      <c r="B23" s="118"/>
      <c r="C23" s="118" t="s">
        <v>11</v>
      </c>
      <c r="D23" s="5">
        <v>16</v>
      </c>
      <c r="E23" s="5" t="s">
        <v>58</v>
      </c>
      <c r="F23" s="5" t="str">
        <f t="shared" si="0"/>
        <v>橙16</v>
      </c>
      <c r="G23" s="5" t="s">
        <v>66</v>
      </c>
      <c r="H23" s="104" t="s">
        <v>103</v>
      </c>
      <c r="I23" s="105" t="s">
        <v>119</v>
      </c>
      <c r="J23" s="106" t="s">
        <v>121</v>
      </c>
      <c r="K23" s="105" t="s">
        <v>123</v>
      </c>
      <c r="M23" s="93" t="s">
        <v>48</v>
      </c>
      <c r="N23" s="94" t="str">
        <f t="shared" si="1"/>
        <v>幻光铃</v>
      </c>
      <c r="O23" s="94" t="str">
        <f t="shared" si="2"/>
        <v>混元镜</v>
      </c>
      <c r="P23" s="94" t="str">
        <f t="shared" si="6"/>
        <v>天翎幻音铃</v>
      </c>
      <c r="Q23" s="94" t="str">
        <f t="shared" si="7"/>
        <v>羲皇八门镜</v>
      </c>
      <c r="R23" s="94">
        <f>IFERROR(VLOOKUP(N23,IF({1,0},$Y$12:$Y$21,$X$12:$X$21),2,0),"[]")</f>
        <v>12018</v>
      </c>
      <c r="S23" s="94">
        <f>IFERROR(VLOOKUP(O23,IF({1,0},$Y$12:$Y$21,$X$12:$X$21),2,0),"[]")</f>
        <v>12020</v>
      </c>
      <c r="T23" s="94">
        <f>IFERROR(VLOOKUP(P23,IF({1,0},$Y$12:$Y$25,$X$12:$X$25),2,0),"[]")</f>
        <v>12022</v>
      </c>
      <c r="U23" s="94">
        <f>IFERROR(VLOOKUP(Q23,IF({1,0},$Y$12:$Y$25,$X$12:$X$25),2,0),"[]")</f>
        <v>12024</v>
      </c>
      <c r="V23" s="94" t="str">
        <f t="shared" si="5"/>
        <v>12018,12020,12022,12024</v>
      </c>
      <c r="X23" s="97">
        <v>12022</v>
      </c>
      <c r="Y23" s="106" t="s">
        <v>122</v>
      </c>
    </row>
    <row r="24" spans="1:25" ht="13.5" customHeight="1">
      <c r="A24" s="8" t="s">
        <v>31</v>
      </c>
      <c r="B24" s="8"/>
      <c r="C24" s="8" t="s">
        <v>11</v>
      </c>
      <c r="D24" s="5">
        <v>16</v>
      </c>
      <c r="E24" s="5" t="s">
        <v>58</v>
      </c>
      <c r="F24" s="5" t="str">
        <f t="shared" si="0"/>
        <v>橙16</v>
      </c>
      <c r="G24" s="5" t="s">
        <v>65</v>
      </c>
      <c r="H24" s="104" t="s">
        <v>103</v>
      </c>
      <c r="I24" s="105" t="s">
        <v>119</v>
      </c>
      <c r="J24" s="106" t="s">
        <v>121</v>
      </c>
      <c r="K24" s="105" t="s">
        <v>123</v>
      </c>
      <c r="M24" s="93" t="s">
        <v>43</v>
      </c>
      <c r="N24" s="94" t="str">
        <f t="shared" si="1"/>
        <v>紫金铃</v>
      </c>
      <c r="O24" s="94" t="str">
        <f t="shared" si="2"/>
        <v>阴阳镜</v>
      </c>
      <c r="P24" s="94" t="str">
        <f t="shared" si="6"/>
        <v>七星宣花铃</v>
      </c>
      <c r="Q24" s="94" t="str">
        <f t="shared" si="7"/>
        <v>太极清源镜</v>
      </c>
      <c r="R24" s="94">
        <f>IFERROR(VLOOKUP(N24,IF({1,0},$Y$12:$Y$21,$X$12:$X$21),2,0),"[]")</f>
        <v>12017</v>
      </c>
      <c r="S24" s="94">
        <f>IFERROR(VLOOKUP(O24,IF({1,0},$Y$12:$Y$21,$X$12:$X$21),2,0),"[]")</f>
        <v>12019</v>
      </c>
      <c r="T24" s="94">
        <f>IFERROR(VLOOKUP(P24,IF({1,0},$Y$12:$Y$25,$X$12:$X$25),2,0),"[]")</f>
        <v>12021</v>
      </c>
      <c r="U24" s="94">
        <f>IFERROR(VLOOKUP(Q24,IF({1,0},$Y$12:$Y$25,$X$12:$X$25),2,0),"[]")</f>
        <v>12023</v>
      </c>
      <c r="V24" s="94" t="str">
        <f t="shared" si="5"/>
        <v>12017,12019,12021,12023</v>
      </c>
      <c r="X24" s="97">
        <v>12023</v>
      </c>
      <c r="Y24" s="105" t="s">
        <v>123</v>
      </c>
    </row>
    <row r="25" spans="1:25" ht="13.5" customHeight="1">
      <c r="A25" s="8" t="s">
        <v>38</v>
      </c>
      <c r="B25" s="8"/>
      <c r="C25" s="8" t="s">
        <v>11</v>
      </c>
      <c r="D25" s="5">
        <v>16</v>
      </c>
      <c r="E25" s="5" t="s">
        <v>58</v>
      </c>
      <c r="F25" s="5" t="str">
        <f t="shared" si="0"/>
        <v>橙16</v>
      </c>
      <c r="G25" s="5" t="s">
        <v>65</v>
      </c>
      <c r="H25" s="104" t="s">
        <v>103</v>
      </c>
      <c r="I25" s="105" t="s">
        <v>119</v>
      </c>
      <c r="J25" s="106" t="s">
        <v>121</v>
      </c>
      <c r="K25" s="105" t="s">
        <v>123</v>
      </c>
      <c r="M25" s="98" t="s">
        <v>86</v>
      </c>
      <c r="N25" s="94" t="str">
        <f t="shared" si="1"/>
        <v>幻光铃</v>
      </c>
      <c r="O25" s="94" t="str">
        <f t="shared" si="2"/>
        <v>混元镜</v>
      </c>
      <c r="P25" s="94" t="str">
        <f t="shared" si="6"/>
        <v>天翎幻音铃</v>
      </c>
      <c r="Q25" s="94" t="str">
        <f t="shared" si="7"/>
        <v>羲皇八门镜</v>
      </c>
      <c r="R25" s="94">
        <f>IFERROR(VLOOKUP(N25,IF({1,0},$Y$12:$Y$21,$X$12:$X$21),2,0),"[]")</f>
        <v>12018</v>
      </c>
      <c r="S25" s="94">
        <f>IFERROR(VLOOKUP(O25,IF({1,0},$Y$12:$Y$21,$X$12:$X$21),2,0),"[]")</f>
        <v>12020</v>
      </c>
      <c r="T25" s="94">
        <f>IFERROR(VLOOKUP(P25,IF({1,0},$Y$12:$Y$25,$X$12:$X$25),2,0),"[]")</f>
        <v>12022</v>
      </c>
      <c r="U25" s="94">
        <f>IFERROR(VLOOKUP(Q25,IF({1,0},$Y$12:$Y$25,$X$12:$X$25),2,0),"[]")</f>
        <v>12024</v>
      </c>
      <c r="V25" s="94" t="str">
        <f t="shared" si="5"/>
        <v>12018,12020,12022,12024</v>
      </c>
      <c r="X25" s="97">
        <v>12024</v>
      </c>
      <c r="Y25" s="105" t="s">
        <v>124</v>
      </c>
    </row>
    <row r="26" spans="1:25" ht="13.5" customHeight="1">
      <c r="A26" s="8" t="s">
        <v>34</v>
      </c>
      <c r="B26" s="8"/>
      <c r="C26" s="8" t="s">
        <v>11</v>
      </c>
      <c r="D26" s="5">
        <v>16</v>
      </c>
      <c r="E26" s="5" t="s">
        <v>58</v>
      </c>
      <c r="F26" s="5" t="str">
        <f t="shared" si="0"/>
        <v>橙16</v>
      </c>
      <c r="G26" s="5" t="s">
        <v>63</v>
      </c>
      <c r="H26" s="104" t="s">
        <v>662</v>
      </c>
      <c r="I26" s="105" t="s">
        <v>120</v>
      </c>
      <c r="J26" s="106" t="s">
        <v>122</v>
      </c>
      <c r="K26" s="105" t="s">
        <v>124</v>
      </c>
      <c r="M26" s="93" t="s">
        <v>47</v>
      </c>
      <c r="N26" s="94" t="str">
        <f t="shared" si="1"/>
        <v>紫金铃</v>
      </c>
      <c r="O26" s="94" t="str">
        <f t="shared" si="2"/>
        <v>阴阳镜</v>
      </c>
      <c r="P26" s="94" t="str">
        <f t="shared" si="6"/>
        <v>七星宣花铃</v>
      </c>
      <c r="Q26" s="94" t="str">
        <f t="shared" si="7"/>
        <v>太极清源镜</v>
      </c>
      <c r="R26" s="94">
        <f>IFERROR(VLOOKUP(N26,IF({1,0},$Y$12:$Y$21,$X$12:$X$21),2,0),"[]")</f>
        <v>12017</v>
      </c>
      <c r="S26" s="94">
        <f>IFERROR(VLOOKUP(O26,IF({1,0},$Y$12:$Y$21,$X$12:$X$21),2,0),"[]")</f>
        <v>12019</v>
      </c>
      <c r="T26" s="94">
        <f>IFERROR(VLOOKUP(P26,IF({1,0},$Y$12:$Y$25,$X$12:$X$25),2,0),"[]")</f>
        <v>12021</v>
      </c>
      <c r="U26" s="94">
        <f>IFERROR(VLOOKUP(Q26,IF({1,0},$Y$12:$Y$25,$X$12:$X$25),2,0),"[]")</f>
        <v>12023</v>
      </c>
      <c r="V26" s="94" t="str">
        <f t="shared" si="5"/>
        <v>12017,12019,12021,12023</v>
      </c>
    </row>
    <row r="27" spans="1:25" ht="13.5" customHeight="1">
      <c r="A27" s="8" t="s">
        <v>37</v>
      </c>
      <c r="B27" s="8"/>
      <c r="C27" s="8" t="s">
        <v>12</v>
      </c>
      <c r="D27" s="5">
        <v>16</v>
      </c>
      <c r="E27" s="5" t="s">
        <v>58</v>
      </c>
      <c r="F27" s="5" t="str">
        <f t="shared" si="0"/>
        <v>橙16</v>
      </c>
      <c r="G27" s="5" t="s">
        <v>63</v>
      </c>
      <c r="H27" s="104" t="s">
        <v>118</v>
      </c>
      <c r="I27" s="105" t="s">
        <v>120</v>
      </c>
      <c r="J27" s="106" t="s">
        <v>122</v>
      </c>
      <c r="K27" s="105" t="s">
        <v>124</v>
      </c>
      <c r="M27" s="93" t="s">
        <v>25</v>
      </c>
      <c r="N27" s="94" t="str">
        <f t="shared" si="1"/>
        <v>幻光铃</v>
      </c>
      <c r="O27" s="94" t="str">
        <f t="shared" si="2"/>
        <v>混元镜</v>
      </c>
      <c r="P27" s="94" t="str">
        <f t="shared" si="6"/>
        <v>七星宣花铃</v>
      </c>
      <c r="Q27" s="94" t="str">
        <f t="shared" si="7"/>
        <v>太极清源镜</v>
      </c>
      <c r="R27" s="94">
        <f>IFERROR(VLOOKUP(N27,IF({1,0},$Y$12:$Y$21,$X$12:$X$21),2,0),"[]")</f>
        <v>12018</v>
      </c>
      <c r="S27" s="94">
        <f>IFERROR(VLOOKUP(O27,IF({1,0},$Y$12:$Y$21,$X$12:$X$21),2,0),"[]")</f>
        <v>12020</v>
      </c>
      <c r="T27" s="94">
        <f>IFERROR(VLOOKUP(P27,IF({1,0},$Y$12:$Y$25,$X$12:$X$25),2,0),"[]")</f>
        <v>12021</v>
      </c>
      <c r="U27" s="94">
        <f>IFERROR(VLOOKUP(Q27,IF({1,0},$Y$12:$Y$25,$X$12:$X$25),2,0),"[]")</f>
        <v>12023</v>
      </c>
      <c r="V27" s="94" t="str">
        <f t="shared" si="5"/>
        <v>12018,12020,12021,12023</v>
      </c>
    </row>
    <row r="28" spans="1:25" ht="13.5" customHeight="1">
      <c r="A28" s="8" t="s">
        <v>7</v>
      </c>
      <c r="B28" s="8"/>
      <c r="C28" s="8" t="s">
        <v>11</v>
      </c>
      <c r="D28" s="5">
        <v>13</v>
      </c>
      <c r="E28" s="5" t="s">
        <v>58</v>
      </c>
      <c r="F28" s="5" t="str">
        <f t="shared" si="0"/>
        <v>橙13</v>
      </c>
      <c r="G28" s="5" t="s">
        <v>68</v>
      </c>
      <c r="H28" s="104" t="s">
        <v>118</v>
      </c>
      <c r="I28" s="105" t="s">
        <v>120</v>
      </c>
      <c r="J28" s="106" t="s">
        <v>122</v>
      </c>
      <c r="K28" s="105" t="s">
        <v>124</v>
      </c>
      <c r="M28" s="93" t="s">
        <v>35</v>
      </c>
      <c r="N28" s="94" t="str">
        <f t="shared" si="1"/>
        <v>紫金铃</v>
      </c>
      <c r="O28" s="94" t="str">
        <f t="shared" si="2"/>
        <v>阴阳镜</v>
      </c>
      <c r="P28" s="94" t="str">
        <f t="shared" si="6"/>
        <v>天翎幻音铃</v>
      </c>
      <c r="Q28" s="94" t="str">
        <f t="shared" si="7"/>
        <v>羲皇八门镜</v>
      </c>
      <c r="R28" s="94">
        <f>IFERROR(VLOOKUP(N28,IF({1,0},$Y$12:$Y$21,$X$12:$X$21),2,0),"[]")</f>
        <v>12017</v>
      </c>
      <c r="S28" s="94">
        <f>IFERROR(VLOOKUP(O28,IF({1,0},$Y$12:$Y$21,$X$12:$X$21),2,0),"[]")</f>
        <v>12019</v>
      </c>
      <c r="T28" s="94">
        <f>IFERROR(VLOOKUP(P28,IF({1,0},$Y$12:$Y$25,$X$12:$X$25),2,0),"[]")</f>
        <v>12022</v>
      </c>
      <c r="U28" s="94">
        <f>IFERROR(VLOOKUP(Q28,IF({1,0},$Y$12:$Y$25,$X$12:$X$25),2,0),"[]")</f>
        <v>12024</v>
      </c>
      <c r="V28" s="94" t="str">
        <f t="shared" si="5"/>
        <v>12017,12019,12022,12024</v>
      </c>
    </row>
    <row r="29" spans="1:25" ht="13.5" customHeight="1">
      <c r="A29" s="25" t="s">
        <v>72</v>
      </c>
      <c r="B29" s="25"/>
      <c r="C29" s="25" t="s">
        <v>11</v>
      </c>
      <c r="D29" s="5">
        <v>13</v>
      </c>
      <c r="E29" s="5" t="s">
        <v>58</v>
      </c>
      <c r="F29" s="5" t="str">
        <f t="shared" si="0"/>
        <v>橙13</v>
      </c>
      <c r="G29" s="5" t="s">
        <v>68</v>
      </c>
      <c r="H29" s="104" t="s">
        <v>118</v>
      </c>
      <c r="I29" s="105" t="s">
        <v>120</v>
      </c>
      <c r="J29" s="106" t="s">
        <v>122</v>
      </c>
      <c r="K29" s="105" t="s">
        <v>124</v>
      </c>
      <c r="M29" s="93" t="s">
        <v>15</v>
      </c>
      <c r="N29" s="94" t="str">
        <f t="shared" si="1"/>
        <v>幻光铃</v>
      </c>
      <c r="O29" s="94" t="str">
        <f t="shared" si="2"/>
        <v>混元镜</v>
      </c>
      <c r="P29" s="94" t="str">
        <f t="shared" si="6"/>
        <v>天翎幻音铃</v>
      </c>
      <c r="Q29" s="94" t="str">
        <f t="shared" si="7"/>
        <v>羲皇八门镜</v>
      </c>
      <c r="R29" s="94">
        <f>IFERROR(VLOOKUP(N29,IF({1,0},$Y$12:$Y$21,$X$12:$X$21),2,0),"[]")</f>
        <v>12018</v>
      </c>
      <c r="S29" s="94">
        <f>IFERROR(VLOOKUP(O29,IF({1,0},$Y$12:$Y$21,$X$12:$X$21),2,0),"[]")</f>
        <v>12020</v>
      </c>
      <c r="T29" s="94">
        <f>IFERROR(VLOOKUP(P29,IF({1,0},$Y$12:$Y$25,$X$12:$X$25),2,0),"[]")</f>
        <v>12022</v>
      </c>
      <c r="U29" s="94">
        <f>IFERROR(VLOOKUP(Q29,IF({1,0},$Y$12:$Y$25,$X$12:$X$25),2,0),"[]")</f>
        <v>12024</v>
      </c>
      <c r="V29" s="94" t="str">
        <f t="shared" si="5"/>
        <v>12018,12020,12022,12024</v>
      </c>
    </row>
    <row r="30" spans="1:25" ht="13.5" customHeight="1">
      <c r="A30" s="25" t="s">
        <v>35</v>
      </c>
      <c r="B30" s="25"/>
      <c r="C30" s="25" t="s">
        <v>11</v>
      </c>
      <c r="D30" s="5">
        <v>13</v>
      </c>
      <c r="E30" s="5" t="s">
        <v>58</v>
      </c>
      <c r="F30" s="5" t="str">
        <f t="shared" si="0"/>
        <v>橙13</v>
      </c>
      <c r="G30" s="5" t="s">
        <v>63</v>
      </c>
      <c r="H30" s="104" t="s">
        <v>103</v>
      </c>
      <c r="I30" s="105" t="s">
        <v>119</v>
      </c>
      <c r="J30" s="106" t="s">
        <v>122</v>
      </c>
      <c r="K30" s="105" t="s">
        <v>124</v>
      </c>
      <c r="M30" s="93" t="s">
        <v>169</v>
      </c>
      <c r="N30" s="94" t="str">
        <f t="shared" si="1"/>
        <v>幻光铃</v>
      </c>
      <c r="O30" s="94" t="str">
        <f t="shared" si="2"/>
        <v>混元镜</v>
      </c>
      <c r="P30" s="94" t="str">
        <f t="shared" si="6"/>
        <v>天翎幻音铃</v>
      </c>
      <c r="Q30" s="94" t="str">
        <f t="shared" si="7"/>
        <v>羲皇八门镜</v>
      </c>
      <c r="R30" s="94">
        <f>IFERROR(VLOOKUP(N30,IF({1,0},$Y$12:$Y$21,$X$12:$X$21),2,0),"[]")</f>
        <v>12018</v>
      </c>
      <c r="S30" s="94">
        <f>IFERROR(VLOOKUP(O30,IF({1,0},$Y$12:$Y$21,$X$12:$X$21),2,0),"[]")</f>
        <v>12020</v>
      </c>
      <c r="T30" s="94">
        <f>IFERROR(VLOOKUP(P30,IF({1,0},$Y$12:$Y$25,$X$12:$X$25),2,0),"[]")</f>
        <v>12022</v>
      </c>
      <c r="U30" s="94">
        <f>IFERROR(VLOOKUP(Q30,IF({1,0},$Y$12:$Y$25,$X$12:$X$25),2,0),"[]")</f>
        <v>12024</v>
      </c>
      <c r="V30" s="94" t="str">
        <f t="shared" si="5"/>
        <v>12018,12020,12022,12024</v>
      </c>
      <c r="X30" s="16" t="s">
        <v>112</v>
      </c>
      <c r="Y30" s="16">
        <v>3001</v>
      </c>
    </row>
    <row r="31" spans="1:25" ht="13.5" customHeight="1">
      <c r="A31" s="25" t="s">
        <v>73</v>
      </c>
      <c r="B31" s="25"/>
      <c r="C31" s="25" t="s">
        <v>12</v>
      </c>
      <c r="D31" s="5">
        <v>13</v>
      </c>
      <c r="E31" s="5" t="s">
        <v>58</v>
      </c>
      <c r="F31" s="5" t="str">
        <f t="shared" si="0"/>
        <v>橙13</v>
      </c>
      <c r="G31" s="5" t="s">
        <v>63</v>
      </c>
      <c r="H31" s="104" t="s">
        <v>103</v>
      </c>
      <c r="I31" s="105" t="s">
        <v>119</v>
      </c>
      <c r="J31" s="106" t="s">
        <v>122</v>
      </c>
      <c r="K31" s="105" t="s">
        <v>124</v>
      </c>
      <c r="M31" s="98" t="s">
        <v>50</v>
      </c>
      <c r="N31" s="94" t="str">
        <f t="shared" si="1"/>
        <v>紫金铃</v>
      </c>
      <c r="O31" s="94" t="str">
        <f t="shared" si="2"/>
        <v>阴阳镜</v>
      </c>
      <c r="P31" s="94" t="str">
        <f t="shared" si="6"/>
        <v>天翎幻音铃</v>
      </c>
      <c r="Q31" s="94" t="str">
        <f t="shared" si="7"/>
        <v>羲皇八门镜</v>
      </c>
      <c r="R31" s="94">
        <f>IFERROR(VLOOKUP(N31,IF({1,0},$Y$12:$Y$21,$X$12:$X$21),2,0),"[]")</f>
        <v>12017</v>
      </c>
      <c r="S31" s="94">
        <f>IFERROR(VLOOKUP(O31,IF({1,0},$Y$12:$Y$21,$X$12:$X$21),2,0),"[]")</f>
        <v>12019</v>
      </c>
      <c r="T31" s="94">
        <f>IFERROR(VLOOKUP(P31,IF({1,0},$Y$12:$Y$25,$X$12:$X$25),2,0),"[]")</f>
        <v>12022</v>
      </c>
      <c r="U31" s="94">
        <f>IFERROR(VLOOKUP(Q31,IF({1,0},$Y$12:$Y$25,$X$12:$X$25),2,0),"[]")</f>
        <v>12024</v>
      </c>
      <c r="V31" s="94" t="str">
        <f t="shared" si="5"/>
        <v>12017,12019,12022,12024</v>
      </c>
      <c r="X31" s="17" t="s">
        <v>113</v>
      </c>
      <c r="Y31" s="16">
        <v>3002</v>
      </c>
    </row>
    <row r="32" spans="1:25" ht="13.5" customHeight="1">
      <c r="A32" s="25" t="s">
        <v>15</v>
      </c>
      <c r="B32" s="25"/>
      <c r="C32" s="25" t="s">
        <v>11</v>
      </c>
      <c r="D32" s="5">
        <v>13</v>
      </c>
      <c r="E32" s="5" t="s">
        <v>58</v>
      </c>
      <c r="F32" s="5" t="str">
        <f t="shared" si="0"/>
        <v>橙13</v>
      </c>
      <c r="G32" s="5" t="s">
        <v>63</v>
      </c>
      <c r="H32" s="104" t="s">
        <v>118</v>
      </c>
      <c r="I32" s="105" t="s">
        <v>120</v>
      </c>
      <c r="J32" s="106" t="s">
        <v>122</v>
      </c>
      <c r="K32" s="105" t="s">
        <v>124</v>
      </c>
      <c r="M32" s="95" t="s">
        <v>85</v>
      </c>
      <c r="N32" s="94" t="str">
        <f t="shared" si="1"/>
        <v>紫金铃</v>
      </c>
      <c r="O32" s="94" t="str">
        <f t="shared" si="2"/>
        <v>阴阳镜</v>
      </c>
      <c r="P32" s="94" t="str">
        <f t="shared" si="6"/>
        <v>天翎幻音铃</v>
      </c>
      <c r="Q32" s="94" t="str">
        <f t="shared" si="7"/>
        <v>羲皇八门镜</v>
      </c>
      <c r="R32" s="94">
        <f>IFERROR(VLOOKUP(N32,IF({1,0},$Y$12:$Y$21,$X$12:$X$21),2,0),"[]")</f>
        <v>12017</v>
      </c>
      <c r="S32" s="94">
        <f>IFERROR(VLOOKUP(O32,IF({1,0},$Y$12:$Y$21,$X$12:$X$21),2,0),"[]")</f>
        <v>12019</v>
      </c>
      <c r="T32" s="94">
        <f>IFERROR(VLOOKUP(P32,IF({1,0},$Y$12:$Y$25,$X$12:$X$25),2,0),"[]")</f>
        <v>12022</v>
      </c>
      <c r="U32" s="94">
        <f>IFERROR(VLOOKUP(Q32,IF({1,0},$Y$12:$Y$25,$X$12:$X$25),2,0),"[]")</f>
        <v>12024</v>
      </c>
      <c r="V32" s="94" t="str">
        <f t="shared" si="5"/>
        <v>12017,12019,12022,12024</v>
      </c>
      <c r="X32" s="16" t="s">
        <v>114</v>
      </c>
      <c r="Y32" s="16">
        <v>3006</v>
      </c>
    </row>
    <row r="33" spans="1:25" ht="13.5" customHeight="1">
      <c r="A33" s="25" t="s">
        <v>5</v>
      </c>
      <c r="B33" s="25"/>
      <c r="C33" s="25" t="s">
        <v>11</v>
      </c>
      <c r="D33" s="5">
        <v>13</v>
      </c>
      <c r="E33" s="5" t="s">
        <v>58</v>
      </c>
      <c r="F33" s="5" t="str">
        <f t="shared" si="0"/>
        <v>橙13</v>
      </c>
      <c r="G33" s="5" t="s">
        <v>65</v>
      </c>
      <c r="H33" s="104" t="s">
        <v>103</v>
      </c>
      <c r="I33" s="105" t="s">
        <v>119</v>
      </c>
      <c r="J33" s="106" t="s">
        <v>121</v>
      </c>
      <c r="K33" s="105" t="s">
        <v>123</v>
      </c>
      <c r="M33" s="93" t="s">
        <v>5</v>
      </c>
      <c r="N33" s="94" t="str">
        <f t="shared" si="1"/>
        <v>紫金铃</v>
      </c>
      <c r="O33" s="94" t="str">
        <f t="shared" si="2"/>
        <v>阴阳镜</v>
      </c>
      <c r="P33" s="94" t="str">
        <f t="shared" si="6"/>
        <v>七星宣花铃</v>
      </c>
      <c r="Q33" s="94" t="str">
        <f t="shared" si="7"/>
        <v>太极清源镜</v>
      </c>
      <c r="R33" s="94">
        <f>IFERROR(VLOOKUP(N33,IF({1,0},$Y$12:$Y$21,$X$12:$X$21),2,0),"[]")</f>
        <v>12017</v>
      </c>
      <c r="S33" s="94">
        <f>IFERROR(VLOOKUP(O33,IF({1,0},$Y$12:$Y$21,$X$12:$X$21),2,0),"[]")</f>
        <v>12019</v>
      </c>
      <c r="T33" s="94">
        <f>IFERROR(VLOOKUP(P33,IF({1,0},$Y$12:$Y$25,$X$12:$X$25),2,0),"[]")</f>
        <v>12021</v>
      </c>
      <c r="U33" s="94">
        <f>IFERROR(VLOOKUP(Q33,IF({1,0},$Y$12:$Y$25,$X$12:$X$25),2,0),"[]")</f>
        <v>12023</v>
      </c>
      <c r="V33" s="94" t="str">
        <f t="shared" si="5"/>
        <v>12017,12019,12021,12023</v>
      </c>
      <c r="X33" s="18" t="s">
        <v>115</v>
      </c>
      <c r="Y33" s="16">
        <v>3008</v>
      </c>
    </row>
    <row r="34" spans="1:25" ht="13.5" customHeight="1">
      <c r="A34" s="25" t="s">
        <v>74</v>
      </c>
      <c r="B34" s="25"/>
      <c r="C34" s="25" t="s">
        <v>11</v>
      </c>
      <c r="D34" s="5">
        <v>13</v>
      </c>
      <c r="E34" s="5" t="s">
        <v>58</v>
      </c>
      <c r="F34" s="5" t="str">
        <f t="shared" si="0"/>
        <v>橙13</v>
      </c>
      <c r="G34" s="5" t="s">
        <v>65</v>
      </c>
      <c r="H34" s="104" t="s">
        <v>103</v>
      </c>
      <c r="I34" s="105" t="s">
        <v>119</v>
      </c>
      <c r="J34" s="106" t="s">
        <v>121</v>
      </c>
      <c r="K34" s="105" t="s">
        <v>123</v>
      </c>
      <c r="M34" s="93" t="s">
        <v>23</v>
      </c>
      <c r="N34" s="94" t="str">
        <f t="shared" si="1"/>
        <v>紫金铃</v>
      </c>
      <c r="O34" s="94" t="str">
        <f t="shared" si="2"/>
        <v>阴阳镜</v>
      </c>
      <c r="P34" s="94" t="str">
        <f t="shared" si="6"/>
        <v>七星宣花铃</v>
      </c>
      <c r="Q34" s="94" t="str">
        <f t="shared" si="7"/>
        <v>太极清源镜</v>
      </c>
      <c r="R34" s="94">
        <f>IFERROR(VLOOKUP(N34,IF({1,0},$Y$12:$Y$21,$X$12:$X$21),2,0),"[]")</f>
        <v>12017</v>
      </c>
      <c r="S34" s="94">
        <f>IFERROR(VLOOKUP(O34,IF({1,0},$Y$12:$Y$21,$X$12:$X$21),2,0),"[]")</f>
        <v>12019</v>
      </c>
      <c r="T34" s="94">
        <f>IFERROR(VLOOKUP(P34,IF({1,0},$Y$12:$Y$25,$X$12:$X$25),2,0),"[]")</f>
        <v>12021</v>
      </c>
      <c r="U34" s="94">
        <f>IFERROR(VLOOKUP(Q34,IF({1,0},$Y$12:$Y$25,$X$12:$X$25),2,0),"[]")</f>
        <v>12023</v>
      </c>
      <c r="V34" s="94" t="str">
        <f t="shared" si="5"/>
        <v>12017,12019,12021,12023</v>
      </c>
      <c r="X34" s="17" t="s">
        <v>116</v>
      </c>
      <c r="Y34" s="16">
        <v>3005</v>
      </c>
    </row>
    <row r="35" spans="1:25" ht="13.5" customHeight="1">
      <c r="A35" s="25" t="s">
        <v>36</v>
      </c>
      <c r="B35" s="25"/>
      <c r="C35" s="25" t="s">
        <v>11</v>
      </c>
      <c r="D35" s="5">
        <v>13</v>
      </c>
      <c r="E35" s="5" t="s">
        <v>58</v>
      </c>
      <c r="F35" s="5" t="str">
        <f t="shared" si="0"/>
        <v>橙13</v>
      </c>
      <c r="G35" s="5" t="s">
        <v>67</v>
      </c>
      <c r="H35" s="104" t="s">
        <v>118</v>
      </c>
      <c r="I35" s="105" t="s">
        <v>120</v>
      </c>
      <c r="J35" s="106" t="s">
        <v>122</v>
      </c>
      <c r="K35" s="105" t="s">
        <v>124</v>
      </c>
      <c r="M35" s="93" t="s">
        <v>192</v>
      </c>
      <c r="N35" s="94" t="str">
        <f t="shared" si="1"/>
        <v>紫金铃</v>
      </c>
      <c r="O35" s="94" t="str">
        <f t="shared" si="2"/>
        <v>阴阳镜</v>
      </c>
      <c r="P35" s="94" t="str">
        <f t="shared" si="6"/>
        <v>七星宣花铃</v>
      </c>
      <c r="Q35" s="94" t="str">
        <f t="shared" si="7"/>
        <v>太极清源镜</v>
      </c>
      <c r="R35" s="94">
        <f>IFERROR(VLOOKUP(N35,IF({1,0},$Y$12:$Y$21,$X$12:$X$21),2,0),"[]")</f>
        <v>12017</v>
      </c>
      <c r="S35" s="94">
        <f>IFERROR(VLOOKUP(O35,IF({1,0},$Y$12:$Y$21,$X$12:$X$21),2,0),"[]")</f>
        <v>12019</v>
      </c>
      <c r="T35" s="94">
        <f>IFERROR(VLOOKUP(P35,IF({1,0},$Y$12:$Y$25,$X$12:$X$25),2,0),"[]")</f>
        <v>12021</v>
      </c>
      <c r="U35" s="94">
        <f>IFERROR(VLOOKUP(Q35,IF({1,0},$Y$12:$Y$25,$X$12:$X$25),2,0),"[]")</f>
        <v>12023</v>
      </c>
      <c r="V35" s="94" t="str">
        <f t="shared" si="5"/>
        <v>12017,12019,12021,12023</v>
      </c>
      <c r="X35" s="17" t="s">
        <v>117</v>
      </c>
      <c r="Y35" s="16">
        <v>3007</v>
      </c>
    </row>
    <row r="36" spans="1:25" ht="13.5" customHeight="1">
      <c r="A36" s="47" t="s">
        <v>52</v>
      </c>
      <c r="B36" s="47"/>
      <c r="C36" s="47" t="s">
        <v>18</v>
      </c>
      <c r="D36" s="5">
        <v>11</v>
      </c>
      <c r="E36" s="5" t="s">
        <v>58</v>
      </c>
      <c r="F36" s="5" t="str">
        <f t="shared" si="0"/>
        <v>紫11</v>
      </c>
      <c r="G36" s="5" t="s">
        <v>63</v>
      </c>
      <c r="H36" s="104" t="s">
        <v>114</v>
      </c>
      <c r="I36" s="105" t="s">
        <v>116</v>
      </c>
      <c r="M36" s="93" t="s">
        <v>16</v>
      </c>
      <c r="N36" s="94" t="str">
        <f t="shared" si="1"/>
        <v>紫金铃</v>
      </c>
      <c r="O36" s="94" t="str">
        <f t="shared" si="2"/>
        <v>阴阳镜</v>
      </c>
      <c r="P36" s="94" t="str">
        <f t="shared" si="6"/>
        <v>七星宣花铃</v>
      </c>
      <c r="Q36" s="94" t="str">
        <f t="shared" si="7"/>
        <v>太极清源镜</v>
      </c>
      <c r="R36" s="94">
        <f>IFERROR(VLOOKUP(N36,IF({1,0},$Y$12:$Y$21,$X$12:$X$21),2,0),"[]")</f>
        <v>12017</v>
      </c>
      <c r="S36" s="94">
        <f>IFERROR(VLOOKUP(O36,IF({1,0},$Y$12:$Y$21,$X$12:$X$21),2,0),"[]")</f>
        <v>12019</v>
      </c>
      <c r="T36" s="94">
        <f>IFERROR(VLOOKUP(P36,IF({1,0},$Y$12:$Y$25,$X$12:$X$25),2,0),"[]")</f>
        <v>12021</v>
      </c>
      <c r="U36" s="94">
        <f>IFERROR(VLOOKUP(Q36,IF({1,0},$Y$12:$Y$25,$X$12:$X$25),2,0),"[]")</f>
        <v>12023</v>
      </c>
      <c r="V36" s="94" t="str">
        <f t="shared" si="5"/>
        <v>12017,12019,12021,12023</v>
      </c>
      <c r="X36" s="16" t="s">
        <v>103</v>
      </c>
      <c r="Y36" s="16">
        <v>3011</v>
      </c>
    </row>
    <row r="37" spans="1:25" ht="13.5" customHeight="1">
      <c r="A37" s="47" t="s">
        <v>20</v>
      </c>
      <c r="B37" s="47"/>
      <c r="C37" s="47" t="s">
        <v>18</v>
      </c>
      <c r="D37" s="5">
        <v>11</v>
      </c>
      <c r="E37" s="5" t="s">
        <v>58</v>
      </c>
      <c r="F37" s="5" t="str">
        <f t="shared" si="0"/>
        <v>紫11</v>
      </c>
      <c r="G37" s="5" t="s">
        <v>65</v>
      </c>
      <c r="H37" s="104" t="s">
        <v>114</v>
      </c>
      <c r="I37" s="105" t="s">
        <v>116</v>
      </c>
      <c r="M37" s="93" t="s">
        <v>27</v>
      </c>
      <c r="N37" s="94" t="str">
        <f t="shared" si="1"/>
        <v>紫金铃</v>
      </c>
      <c r="O37" s="94" t="str">
        <f t="shared" si="2"/>
        <v>阴阳镜</v>
      </c>
      <c r="P37" s="94" t="str">
        <f t="shared" si="6"/>
        <v>七星宣花铃</v>
      </c>
      <c r="Q37" s="94" t="str">
        <f t="shared" si="7"/>
        <v>太极清源镜</v>
      </c>
      <c r="R37" s="94">
        <f>IFERROR(VLOOKUP(N37,IF({1,0},$Y$12:$Y$21,$X$12:$X$21),2,0),"[]")</f>
        <v>12017</v>
      </c>
      <c r="S37" s="94">
        <f>IFERROR(VLOOKUP(O37,IF({1,0},$Y$12:$Y$21,$X$12:$X$21),2,0),"[]")</f>
        <v>12019</v>
      </c>
      <c r="T37" s="94">
        <f>IFERROR(VLOOKUP(P37,IF({1,0},$Y$12:$Y$25,$X$12:$X$25),2,0),"[]")</f>
        <v>12021</v>
      </c>
      <c r="U37" s="94">
        <f>IFERROR(VLOOKUP(Q37,IF({1,0},$Y$12:$Y$25,$X$12:$X$25),2,0),"[]")</f>
        <v>12023</v>
      </c>
      <c r="V37" s="94" t="str">
        <f t="shared" si="5"/>
        <v>12017,12019,12021,12023</v>
      </c>
      <c r="X37" s="16" t="s">
        <v>118</v>
      </c>
      <c r="Y37" s="16">
        <v>3014</v>
      </c>
    </row>
    <row r="38" spans="1:25" ht="13.5" customHeight="1">
      <c r="A38" s="47" t="s">
        <v>75</v>
      </c>
      <c r="B38" s="47"/>
      <c r="C38" s="47" t="s">
        <v>18</v>
      </c>
      <c r="D38" s="5">
        <v>11</v>
      </c>
      <c r="E38" s="5" t="s">
        <v>58</v>
      </c>
      <c r="F38" s="5" t="str">
        <f t="shared" si="0"/>
        <v>紫11</v>
      </c>
      <c r="G38" s="5" t="s">
        <v>65</v>
      </c>
      <c r="H38" s="106" t="s">
        <v>115</v>
      </c>
      <c r="I38" s="105" t="s">
        <v>663</v>
      </c>
      <c r="M38" s="95" t="s">
        <v>80</v>
      </c>
      <c r="N38" s="94" t="str">
        <f t="shared" si="1"/>
        <v>紫金铃</v>
      </c>
      <c r="O38" s="94" t="str">
        <f t="shared" si="2"/>
        <v>阴阳镜</v>
      </c>
      <c r="P38" s="94" t="str">
        <f t="shared" si="6"/>
        <v>七星宣花铃</v>
      </c>
      <c r="Q38" s="94" t="str">
        <f t="shared" si="7"/>
        <v>太极清源镜</v>
      </c>
      <c r="R38" s="94">
        <f>IFERROR(VLOOKUP(N38,IF({1,0},$Y$12:$Y$21,$X$12:$X$21),2,0),"[]")</f>
        <v>12017</v>
      </c>
      <c r="S38" s="94">
        <f>IFERROR(VLOOKUP(O38,IF({1,0},$Y$12:$Y$21,$X$12:$X$21),2,0),"[]")</f>
        <v>12019</v>
      </c>
      <c r="T38" s="94">
        <f>IFERROR(VLOOKUP(P38,IF({1,0},$Y$12:$Y$25,$X$12:$X$25),2,0),"[]")</f>
        <v>12021</v>
      </c>
      <c r="U38" s="94">
        <f>IFERROR(VLOOKUP(Q38,IF({1,0},$Y$12:$Y$25,$X$12:$X$25),2,0),"[]")</f>
        <v>12023</v>
      </c>
      <c r="V38" s="94" t="str">
        <f t="shared" si="5"/>
        <v>12017,12019,12021,12023</v>
      </c>
      <c r="X38" s="17" t="s">
        <v>119</v>
      </c>
      <c r="Y38" s="16">
        <v>3012</v>
      </c>
    </row>
    <row r="39" spans="1:25" ht="13.5" customHeight="1">
      <c r="A39" s="47" t="s">
        <v>76</v>
      </c>
      <c r="B39" s="47"/>
      <c r="C39" s="47" t="s">
        <v>18</v>
      </c>
      <c r="D39" s="5">
        <v>11</v>
      </c>
      <c r="E39" s="5" t="s">
        <v>58</v>
      </c>
      <c r="F39" s="5" t="str">
        <f t="shared" si="0"/>
        <v>紫11</v>
      </c>
      <c r="G39" s="5" t="s">
        <v>65</v>
      </c>
      <c r="H39" s="104" t="s">
        <v>114</v>
      </c>
      <c r="I39" s="105" t="s">
        <v>116</v>
      </c>
      <c r="M39" s="93" t="s">
        <v>36</v>
      </c>
      <c r="N39" s="94" t="str">
        <f t="shared" si="1"/>
        <v>幻光铃</v>
      </c>
      <c r="O39" s="94" t="str">
        <f t="shared" si="2"/>
        <v>混元镜</v>
      </c>
      <c r="P39" s="94" t="str">
        <f t="shared" si="6"/>
        <v>天翎幻音铃</v>
      </c>
      <c r="Q39" s="94" t="str">
        <f t="shared" si="7"/>
        <v>羲皇八门镜</v>
      </c>
      <c r="R39" s="94">
        <f>IFERROR(VLOOKUP(N39,IF({1,0},$Y$12:$Y$21,$X$12:$X$21),2,0),"[]")</f>
        <v>12018</v>
      </c>
      <c r="S39" s="94">
        <f>IFERROR(VLOOKUP(O39,IF({1,0},$Y$12:$Y$21,$X$12:$X$21),2,0),"[]")</f>
        <v>12020</v>
      </c>
      <c r="T39" s="94">
        <f>IFERROR(VLOOKUP(P39,IF({1,0},$Y$12:$Y$25,$X$12:$X$25),2,0),"[]")</f>
        <v>12022</v>
      </c>
      <c r="U39" s="94">
        <f>IFERROR(VLOOKUP(Q39,IF({1,0},$Y$12:$Y$25,$X$12:$X$25),2,0),"[]")</f>
        <v>12024</v>
      </c>
      <c r="V39" s="94" t="str">
        <f t="shared" si="5"/>
        <v>12018,12020,12022,12024</v>
      </c>
      <c r="X39" s="17" t="s">
        <v>120</v>
      </c>
      <c r="Y39" s="16">
        <v>3013</v>
      </c>
    </row>
    <row r="40" spans="1:25" ht="13.5" customHeight="1">
      <c r="A40" s="46" t="s">
        <v>70</v>
      </c>
      <c r="B40" s="46"/>
      <c r="C40" s="46" t="s">
        <v>18</v>
      </c>
      <c r="D40" s="36">
        <v>11</v>
      </c>
      <c r="E40" s="36" t="s">
        <v>59</v>
      </c>
      <c r="F40" s="36" t="str">
        <f t="shared" si="0"/>
        <v>紫11</v>
      </c>
      <c r="G40" s="36" t="s">
        <v>63</v>
      </c>
      <c r="H40" s="106" t="s">
        <v>115</v>
      </c>
      <c r="I40" s="105" t="s">
        <v>117</v>
      </c>
      <c r="M40" s="93" t="s">
        <v>45</v>
      </c>
      <c r="N40" s="94" t="str">
        <f t="shared" si="1"/>
        <v>幻光铃</v>
      </c>
      <c r="O40" s="94" t="str">
        <f t="shared" si="2"/>
        <v>混元镜</v>
      </c>
      <c r="P40" s="94" t="str">
        <f t="shared" si="6"/>
        <v>天翎幻音铃</v>
      </c>
      <c r="Q40" s="94" t="str">
        <f t="shared" si="7"/>
        <v>羲皇八门镜</v>
      </c>
      <c r="R40" s="94">
        <f>IFERROR(VLOOKUP(N40,IF({1,0},$Y$12:$Y$21,$X$12:$X$21),2,0),"[]")</f>
        <v>12018</v>
      </c>
      <c r="S40" s="94">
        <f>IFERROR(VLOOKUP(O40,IF({1,0},$Y$12:$Y$21,$X$12:$X$21),2,0),"[]")</f>
        <v>12020</v>
      </c>
      <c r="T40" s="94">
        <f>IFERROR(VLOOKUP(P40,IF({1,0},$Y$12:$Y$25,$X$12:$X$25),2,0),"[]")</f>
        <v>12022</v>
      </c>
      <c r="U40" s="94">
        <f>IFERROR(VLOOKUP(Q40,IF({1,0},$Y$12:$Y$25,$X$12:$X$25),2,0),"[]")</f>
        <v>12024</v>
      </c>
      <c r="V40" s="94" t="str">
        <f t="shared" si="5"/>
        <v>12018,12020,12022,12024</v>
      </c>
      <c r="X40" s="18" t="s">
        <v>121</v>
      </c>
      <c r="Y40" s="16">
        <v>3017</v>
      </c>
    </row>
    <row r="41" spans="1:25" ht="13.5" customHeight="1">
      <c r="A41" s="46" t="s">
        <v>71</v>
      </c>
      <c r="B41" s="46"/>
      <c r="C41" s="46" t="s">
        <v>18</v>
      </c>
      <c r="D41" s="36">
        <v>11</v>
      </c>
      <c r="E41" s="36" t="s">
        <v>59</v>
      </c>
      <c r="F41" s="36" t="str">
        <f t="shared" si="0"/>
        <v>紫11</v>
      </c>
      <c r="G41" s="36" t="s">
        <v>65</v>
      </c>
      <c r="H41" s="106" t="s">
        <v>115</v>
      </c>
      <c r="I41" s="105" t="s">
        <v>117</v>
      </c>
      <c r="M41" s="96" t="s">
        <v>170</v>
      </c>
      <c r="N41" s="94" t="str">
        <f t="shared" si="1"/>
        <v>幻光铃</v>
      </c>
      <c r="O41" s="94" t="str">
        <f t="shared" si="2"/>
        <v>混元镜</v>
      </c>
      <c r="P41" s="94" t="str">
        <f t="shared" si="6"/>
        <v>天翎幻音铃</v>
      </c>
      <c r="Q41" s="94" t="str">
        <f t="shared" si="7"/>
        <v>羲皇八门镜</v>
      </c>
      <c r="R41" s="94">
        <f>IFERROR(VLOOKUP(N41,IF({1,0},$Y$12:$Y$21,$X$12:$X$21),2,0),"[]")</f>
        <v>12018</v>
      </c>
      <c r="S41" s="94">
        <f>IFERROR(VLOOKUP(O41,IF({1,0},$Y$12:$Y$21,$X$12:$X$21),2,0),"[]")</f>
        <v>12020</v>
      </c>
      <c r="T41" s="94">
        <f>IFERROR(VLOOKUP(P41,IF({1,0},$Y$12:$Y$25,$X$12:$X$25),2,0),"[]")</f>
        <v>12022</v>
      </c>
      <c r="U41" s="94">
        <f>IFERROR(VLOOKUP(Q41,IF({1,0},$Y$12:$Y$25,$X$12:$X$25),2,0),"[]")</f>
        <v>12024</v>
      </c>
      <c r="V41" s="94" t="str">
        <f t="shared" si="5"/>
        <v>12018,12020,12022,12024</v>
      </c>
      <c r="X41" s="18" t="s">
        <v>122</v>
      </c>
      <c r="Y41" s="16">
        <v>3019</v>
      </c>
    </row>
    <row r="42" spans="1:25" ht="13.5" customHeight="1">
      <c r="A42" s="119" t="s">
        <v>61</v>
      </c>
      <c r="B42" s="119"/>
      <c r="C42" s="119" t="s">
        <v>11</v>
      </c>
      <c r="D42" s="3">
        <v>16</v>
      </c>
      <c r="E42" s="3" t="s">
        <v>60</v>
      </c>
      <c r="F42" s="3" t="str">
        <f t="shared" si="0"/>
        <v>橙16</v>
      </c>
      <c r="G42" s="3" t="s">
        <v>66</v>
      </c>
      <c r="H42" s="104" t="s">
        <v>103</v>
      </c>
      <c r="I42" s="105" t="s">
        <v>119</v>
      </c>
      <c r="J42" s="106" t="s">
        <v>121</v>
      </c>
      <c r="K42" s="105" t="s">
        <v>123</v>
      </c>
      <c r="M42" s="93" t="s">
        <v>8</v>
      </c>
      <c r="N42" s="94" t="str">
        <f t="shared" si="1"/>
        <v>紫金铃</v>
      </c>
      <c r="O42" s="94" t="str">
        <f t="shared" si="2"/>
        <v>阴阳镜</v>
      </c>
      <c r="P42" s="94" t="str">
        <f t="shared" si="6"/>
        <v>天翎幻音铃</v>
      </c>
      <c r="Q42" s="94" t="str">
        <f t="shared" si="7"/>
        <v>羲皇八门镜</v>
      </c>
      <c r="R42" s="94">
        <f>IFERROR(VLOOKUP(N42,IF({1,0},$Y$12:$Y$21,$X$12:$X$21),2,0),"[]")</f>
        <v>12017</v>
      </c>
      <c r="S42" s="94">
        <f>IFERROR(VLOOKUP(O42,IF({1,0},$Y$12:$Y$21,$X$12:$X$21),2,0),"[]")</f>
        <v>12019</v>
      </c>
      <c r="T42" s="94">
        <f>IFERROR(VLOOKUP(P42,IF({1,0},$Y$12:$Y$25,$X$12:$X$25),2,0),"[]")</f>
        <v>12022</v>
      </c>
      <c r="U42" s="94">
        <f>IFERROR(VLOOKUP(Q42,IF({1,0},$Y$12:$Y$25,$X$12:$X$25),2,0),"[]")</f>
        <v>12024</v>
      </c>
      <c r="V42" s="94" t="str">
        <f t="shared" si="5"/>
        <v>12017,12019,12022,12024</v>
      </c>
      <c r="X42" s="17" t="s">
        <v>123</v>
      </c>
      <c r="Y42" s="16">
        <v>3018</v>
      </c>
    </row>
    <row r="43" spans="1:25" ht="13.5" customHeight="1">
      <c r="A43" s="119" t="s">
        <v>94</v>
      </c>
      <c r="B43" s="119"/>
      <c r="C43" s="119" t="s">
        <v>11</v>
      </c>
      <c r="D43" s="3">
        <v>16</v>
      </c>
      <c r="E43" s="3" t="s">
        <v>60</v>
      </c>
      <c r="F43" s="3" t="str">
        <f t="shared" si="0"/>
        <v>橙16</v>
      </c>
      <c r="G43" s="3" t="s">
        <v>65</v>
      </c>
      <c r="H43" s="104" t="s">
        <v>635</v>
      </c>
      <c r="I43" s="105" t="s">
        <v>119</v>
      </c>
      <c r="J43" s="106" t="s">
        <v>121</v>
      </c>
      <c r="K43" s="105" t="s">
        <v>123</v>
      </c>
      <c r="M43" s="93" t="s">
        <v>194</v>
      </c>
      <c r="N43" s="94" t="str">
        <f t="shared" si="1"/>
        <v>幻光铃</v>
      </c>
      <c r="O43" s="94" t="str">
        <f t="shared" si="2"/>
        <v>混元镜</v>
      </c>
      <c r="P43" s="94" t="str">
        <f t="shared" si="6"/>
        <v>天翎幻音铃</v>
      </c>
      <c r="Q43" s="94" t="str">
        <f t="shared" si="7"/>
        <v>羲皇八门镜</v>
      </c>
      <c r="R43" s="94">
        <f>IFERROR(VLOOKUP(N43,IF({1,0},$Y$12:$Y$21,$X$12:$X$21),2,0),"[]")</f>
        <v>12018</v>
      </c>
      <c r="S43" s="94">
        <f>IFERROR(VLOOKUP(O43,IF({1,0},$Y$12:$Y$21,$X$12:$X$21),2,0),"[]")</f>
        <v>12020</v>
      </c>
      <c r="T43" s="94">
        <f>IFERROR(VLOOKUP(P43,IF({1,0},$Y$12:$Y$25,$X$12:$X$25),2,0),"[]")</f>
        <v>12022</v>
      </c>
      <c r="U43" s="94">
        <f>IFERROR(VLOOKUP(Q43,IF({1,0},$Y$12:$Y$25,$X$12:$X$25),2,0),"[]")</f>
        <v>12024</v>
      </c>
      <c r="V43" s="94" t="str">
        <f t="shared" si="5"/>
        <v>12018,12020,12022,12024</v>
      </c>
      <c r="X43" s="17" t="s">
        <v>124</v>
      </c>
      <c r="Y43" s="16">
        <v>3020</v>
      </c>
    </row>
    <row r="44" spans="1:25" ht="13.5" customHeight="1">
      <c r="A44" s="11" t="s">
        <v>44</v>
      </c>
      <c r="B44" s="11"/>
      <c r="C44" s="11" t="s">
        <v>11</v>
      </c>
      <c r="D44" s="3">
        <v>16</v>
      </c>
      <c r="E44" s="3" t="s">
        <v>60</v>
      </c>
      <c r="F44" s="3" t="str">
        <f t="shared" si="0"/>
        <v>橙16</v>
      </c>
      <c r="G44" s="3" t="s">
        <v>65</v>
      </c>
      <c r="H44" s="104" t="s">
        <v>635</v>
      </c>
      <c r="I44" s="105" t="s">
        <v>119</v>
      </c>
      <c r="J44" s="106" t="s">
        <v>121</v>
      </c>
      <c r="K44" s="105" t="s">
        <v>123</v>
      </c>
      <c r="M44" s="99" t="s">
        <v>53</v>
      </c>
      <c r="N44" s="94" t="str">
        <f t="shared" si="1"/>
        <v>樱月铃</v>
      </c>
      <c r="O44" s="94" t="str">
        <f t="shared" si="2"/>
        <v>八卦镜</v>
      </c>
      <c r="P44" s="94" t="s">
        <v>732</v>
      </c>
      <c r="Q44" s="94" t="s">
        <v>732</v>
      </c>
      <c r="R44" s="94">
        <f>IFERROR(VLOOKUP(N44,IF({1,0},$Y$12:$Y$21,$X$12:$X$21),2,0),"[]")</f>
        <v>12013</v>
      </c>
      <c r="S44" s="94">
        <f>IFERROR(VLOOKUP(O44,IF({1,0},$Y$12:$Y$21,$X$12:$X$21),2,0),"[]")</f>
        <v>12015</v>
      </c>
      <c r="T44" s="94" t="str">
        <f>IFERROR(VLOOKUP(P44,IF({1,0},$Y$12:$Y$25,$X$12:$X$25),2,0),"[]")</f>
        <v>[]</v>
      </c>
      <c r="U44" s="94" t="str">
        <f>IFERROR(VLOOKUP(Q44,IF({1,0},$Y$12:$Y$25,$X$12:$X$25),2,0),"[]")</f>
        <v>[]</v>
      </c>
      <c r="V44" s="94" t="str">
        <f t="shared" ref="V44:V60" si="8">R44&amp;","&amp;S44</f>
        <v>12013,12015</v>
      </c>
    </row>
    <row r="45" spans="1:25" ht="13.5" customHeight="1">
      <c r="A45" s="11" t="s">
        <v>40</v>
      </c>
      <c r="B45" s="11"/>
      <c r="C45" s="11" t="s">
        <v>11</v>
      </c>
      <c r="D45" s="3">
        <v>16</v>
      </c>
      <c r="E45" s="3" t="s">
        <v>60</v>
      </c>
      <c r="F45" s="3" t="str">
        <f t="shared" si="0"/>
        <v>橙16</v>
      </c>
      <c r="G45" s="3" t="s">
        <v>65</v>
      </c>
      <c r="H45" s="104" t="s">
        <v>103</v>
      </c>
      <c r="I45" s="105" t="s">
        <v>119</v>
      </c>
      <c r="J45" s="106" t="s">
        <v>121</v>
      </c>
      <c r="K45" s="105" t="s">
        <v>123</v>
      </c>
      <c r="M45" s="93" t="s">
        <v>54</v>
      </c>
      <c r="N45" s="94" t="str">
        <f t="shared" si="1"/>
        <v>樱月铃</v>
      </c>
      <c r="O45" s="94" t="str">
        <f t="shared" si="2"/>
        <v>八卦镜</v>
      </c>
      <c r="P45" s="94" t="s">
        <v>732</v>
      </c>
      <c r="Q45" s="94" t="s">
        <v>732</v>
      </c>
      <c r="R45" s="94">
        <f>IFERROR(VLOOKUP(N45,IF({1,0},$Y$12:$Y$21,$X$12:$X$21),2,0),"[]")</f>
        <v>12013</v>
      </c>
      <c r="S45" s="94">
        <f>IFERROR(VLOOKUP(O45,IF({1,0},$Y$12:$Y$21,$X$12:$X$21),2,0),"[]")</f>
        <v>12015</v>
      </c>
      <c r="T45" s="94" t="str">
        <f>IFERROR(VLOOKUP(P45,IF({1,0},$Y$12:$Y$25,$X$12:$X$25),2,0),"[]")</f>
        <v>[]</v>
      </c>
      <c r="U45" s="94" t="str">
        <f>IFERROR(VLOOKUP(Q45,IF({1,0},$Y$12:$Y$25,$X$12:$X$25),2,0),"[]")</f>
        <v>[]</v>
      </c>
      <c r="V45" s="94" t="str">
        <f t="shared" si="8"/>
        <v>12013,12015</v>
      </c>
    </row>
    <row r="46" spans="1:25" ht="13.5" customHeight="1">
      <c r="A46" s="11" t="s">
        <v>77</v>
      </c>
      <c r="B46" s="11"/>
      <c r="C46" s="11" t="s">
        <v>11</v>
      </c>
      <c r="D46" s="3">
        <v>16</v>
      </c>
      <c r="E46" s="3" t="s">
        <v>60</v>
      </c>
      <c r="F46" s="3" t="str">
        <f t="shared" si="0"/>
        <v>橙16</v>
      </c>
      <c r="G46" s="3" t="s">
        <v>64</v>
      </c>
      <c r="H46" s="104" t="s">
        <v>118</v>
      </c>
      <c r="I46" s="105" t="s">
        <v>120</v>
      </c>
      <c r="J46" s="106" t="s">
        <v>122</v>
      </c>
      <c r="K46" s="105" t="s">
        <v>124</v>
      </c>
      <c r="M46" s="95" t="s">
        <v>195</v>
      </c>
      <c r="N46" s="94" t="str">
        <f t="shared" si="1"/>
        <v>紫金铃</v>
      </c>
      <c r="O46" s="94" t="str">
        <f t="shared" si="2"/>
        <v>阴阳镜</v>
      </c>
      <c r="P46" s="94" t="str">
        <f t="shared" si="6"/>
        <v>天翎幻音铃</v>
      </c>
      <c r="Q46" s="94" t="str">
        <f t="shared" si="7"/>
        <v>羲皇八门镜</v>
      </c>
      <c r="R46" s="94">
        <f>IFERROR(VLOOKUP(N46,IF({1,0},$Y$12:$Y$21,$X$12:$X$21),2,0),"[]")</f>
        <v>12017</v>
      </c>
      <c r="S46" s="94">
        <f>IFERROR(VLOOKUP(O46,IF({1,0},$Y$12:$Y$21,$X$12:$X$21),2,0),"[]")</f>
        <v>12019</v>
      </c>
      <c r="T46" s="94">
        <f>IFERROR(VLOOKUP(P46,IF({1,0},$Y$12:$Y$25,$X$12:$X$25),2,0),"[]")</f>
        <v>12022</v>
      </c>
      <c r="U46" s="94">
        <f>IFERROR(VLOOKUP(Q46,IF({1,0},$Y$12:$Y$25,$X$12:$X$25),2,0),"[]")</f>
        <v>12024</v>
      </c>
      <c r="V46" s="94" t="str">
        <f t="shared" ref="V46" si="9">R46&amp;","&amp;S46&amp;","&amp;T46&amp;","&amp;U46</f>
        <v>12017,12019,12022,12024</v>
      </c>
    </row>
    <row r="47" spans="1:25" ht="13.5" customHeight="1">
      <c r="A47" s="11" t="s">
        <v>42</v>
      </c>
      <c r="B47" s="11"/>
      <c r="C47" s="11" t="s">
        <v>11</v>
      </c>
      <c r="D47" s="3">
        <v>16</v>
      </c>
      <c r="E47" s="3" t="s">
        <v>60</v>
      </c>
      <c r="F47" s="3" t="str">
        <f t="shared" si="0"/>
        <v>橙16</v>
      </c>
      <c r="G47" s="3" t="s">
        <v>63</v>
      </c>
      <c r="H47" s="104" t="s">
        <v>118</v>
      </c>
      <c r="I47" s="105" t="s">
        <v>120</v>
      </c>
      <c r="J47" s="106" t="s">
        <v>122</v>
      </c>
      <c r="K47" s="105" t="s">
        <v>124</v>
      </c>
      <c r="M47" s="93" t="s">
        <v>52</v>
      </c>
      <c r="N47" s="94" t="str">
        <f t="shared" si="1"/>
        <v>樱月铃</v>
      </c>
      <c r="O47" s="94" t="str">
        <f t="shared" si="2"/>
        <v>八卦镜</v>
      </c>
      <c r="P47" s="94" t="s">
        <v>732</v>
      </c>
      <c r="Q47" s="94" t="s">
        <v>732</v>
      </c>
      <c r="R47" s="94">
        <f>IFERROR(VLOOKUP(N47,IF({1,0},$Y$12:$Y$21,$X$12:$X$21),2,0),"[]")</f>
        <v>12013</v>
      </c>
      <c r="S47" s="94">
        <f>IFERROR(VLOOKUP(O47,IF({1,0},$Y$12:$Y$21,$X$12:$X$21),2,0),"[]")</f>
        <v>12015</v>
      </c>
      <c r="T47" s="94" t="str">
        <f>IFERROR(VLOOKUP(P47,IF({1,0},$Y$12:$Y$25,$X$12:$X$25),2,0),"[]")</f>
        <v>[]</v>
      </c>
      <c r="U47" s="94" t="str">
        <f>IFERROR(VLOOKUP(Q47,IF({1,0},$Y$12:$Y$25,$X$12:$X$25),2,0),"[]")</f>
        <v>[]</v>
      </c>
      <c r="V47" s="94" t="str">
        <f t="shared" si="8"/>
        <v>12013,12015</v>
      </c>
    </row>
    <row r="48" spans="1:25" ht="13.5" customHeight="1">
      <c r="A48" s="11" t="s">
        <v>86</v>
      </c>
      <c r="B48" s="11"/>
      <c r="C48" s="11" t="s">
        <v>11</v>
      </c>
      <c r="D48" s="3">
        <v>13</v>
      </c>
      <c r="E48" s="3" t="s">
        <v>60</v>
      </c>
      <c r="F48" s="3" t="str">
        <f t="shared" si="0"/>
        <v>橙13</v>
      </c>
      <c r="G48" s="3" t="s">
        <v>67</v>
      </c>
      <c r="H48" s="104" t="s">
        <v>118</v>
      </c>
      <c r="I48" s="105" t="s">
        <v>120</v>
      </c>
      <c r="J48" s="106" t="s">
        <v>122</v>
      </c>
      <c r="K48" s="105" t="s">
        <v>124</v>
      </c>
      <c r="M48" s="93" t="s">
        <v>197</v>
      </c>
      <c r="N48" s="94" t="str">
        <f t="shared" si="1"/>
        <v>迷蝶铃</v>
      </c>
      <c r="O48" s="94" t="str">
        <f t="shared" si="2"/>
        <v>龙纹镜</v>
      </c>
      <c r="P48" s="94" t="s">
        <v>732</v>
      </c>
      <c r="Q48" s="94" t="s">
        <v>732</v>
      </c>
      <c r="R48" s="94">
        <f>IFERROR(VLOOKUP(N48,IF({1,0},$Y$12:$Y$21,$X$12:$X$21),2,0),"[]")</f>
        <v>12014</v>
      </c>
      <c r="S48" s="94">
        <f>IFERROR(VLOOKUP(O48,IF({1,0},$Y$12:$Y$21,$X$12:$X$21),2,0),"[]")</f>
        <v>12016</v>
      </c>
      <c r="T48" s="94" t="str">
        <f>IFERROR(VLOOKUP(P48,IF({1,0},$Y$12:$Y$25,$X$12:$X$25),2,0),"[]")</f>
        <v>[]</v>
      </c>
      <c r="U48" s="94" t="str">
        <f>IFERROR(VLOOKUP(Q48,IF({1,0},$Y$12:$Y$25,$X$12:$X$25),2,0),"[]")</f>
        <v>[]</v>
      </c>
      <c r="V48" s="94" t="str">
        <f t="shared" si="8"/>
        <v>12014,12016</v>
      </c>
    </row>
    <row r="49" spans="1:22" ht="13.5" customHeight="1">
      <c r="A49" s="26" t="s">
        <v>78</v>
      </c>
      <c r="B49" s="26"/>
      <c r="C49" s="26" t="s">
        <v>11</v>
      </c>
      <c r="D49" s="3">
        <v>13</v>
      </c>
      <c r="E49" s="3" t="s">
        <v>60</v>
      </c>
      <c r="F49" s="3" t="str">
        <f t="shared" si="0"/>
        <v>橙13</v>
      </c>
      <c r="G49" s="3" t="s">
        <v>68</v>
      </c>
      <c r="H49" s="104" t="s">
        <v>118</v>
      </c>
      <c r="I49" s="105" t="s">
        <v>120</v>
      </c>
      <c r="J49" s="106" t="s">
        <v>122</v>
      </c>
      <c r="K49" s="105" t="s">
        <v>124</v>
      </c>
      <c r="M49" s="96" t="s">
        <v>51</v>
      </c>
      <c r="N49" s="94" t="str">
        <f t="shared" si="1"/>
        <v>樱月铃</v>
      </c>
      <c r="O49" s="94" t="str">
        <f t="shared" si="2"/>
        <v>八卦镜</v>
      </c>
      <c r="P49" s="94" t="s">
        <v>732</v>
      </c>
      <c r="Q49" s="94" t="s">
        <v>732</v>
      </c>
      <c r="R49" s="94">
        <f>IFERROR(VLOOKUP(N49,IF({1,0},$Y$12:$Y$21,$X$12:$X$21),2,0),"[]")</f>
        <v>12013</v>
      </c>
      <c r="S49" s="94">
        <f>IFERROR(VLOOKUP(O49,IF({1,0},$Y$12:$Y$21,$X$12:$X$21),2,0),"[]")</f>
        <v>12015</v>
      </c>
      <c r="T49" s="94" t="str">
        <f>IFERROR(VLOOKUP(P49,IF({1,0},$Y$12:$Y$25,$X$12:$X$25),2,0),"[]")</f>
        <v>[]</v>
      </c>
      <c r="U49" s="94" t="str">
        <f>IFERROR(VLOOKUP(Q49,IF({1,0},$Y$12:$Y$25,$X$12:$X$25),2,0),"[]")</f>
        <v>[]</v>
      </c>
      <c r="V49" s="94" t="str">
        <f t="shared" si="8"/>
        <v>12013,12015</v>
      </c>
    </row>
    <row r="50" spans="1:22" ht="13.5" customHeight="1">
      <c r="A50" s="26" t="s">
        <v>8</v>
      </c>
      <c r="B50" s="26"/>
      <c r="C50" s="26" t="s">
        <v>11</v>
      </c>
      <c r="D50" s="3">
        <v>13</v>
      </c>
      <c r="E50" s="3" t="s">
        <v>60</v>
      </c>
      <c r="F50" s="3" t="str">
        <f>C50&amp;D50</f>
        <v>橙13</v>
      </c>
      <c r="G50" s="3" t="s">
        <v>67</v>
      </c>
      <c r="H50" s="104" t="s">
        <v>103</v>
      </c>
      <c r="I50" s="105" t="s">
        <v>119</v>
      </c>
      <c r="J50" s="106" t="s">
        <v>122</v>
      </c>
      <c r="K50" s="105" t="s">
        <v>124</v>
      </c>
      <c r="M50" s="93" t="s">
        <v>485</v>
      </c>
      <c r="N50" s="94" t="str">
        <f t="shared" si="1"/>
        <v>迷蝶铃</v>
      </c>
      <c r="O50" s="94" t="str">
        <f t="shared" si="2"/>
        <v>龙纹镜</v>
      </c>
      <c r="P50" s="94" t="s">
        <v>732</v>
      </c>
      <c r="Q50" s="94" t="s">
        <v>732</v>
      </c>
      <c r="R50" s="94">
        <f>IFERROR(VLOOKUP(N50,IF({1,0},$Y$12:$Y$21,$X$12:$X$21),2,0),"[]")</f>
        <v>12014</v>
      </c>
      <c r="S50" s="94">
        <f>IFERROR(VLOOKUP(O50,IF({1,0},$Y$12:$Y$21,$X$12:$X$21),2,0),"[]")</f>
        <v>12016</v>
      </c>
      <c r="T50" s="94" t="str">
        <f>IFERROR(VLOOKUP(P50,IF({1,0},$Y$12:$Y$25,$X$12:$X$25),2,0),"[]")</f>
        <v>[]</v>
      </c>
      <c r="U50" s="94" t="str">
        <f>IFERROR(VLOOKUP(Q50,IF({1,0},$Y$12:$Y$25,$X$12:$X$25),2,0),"[]")</f>
        <v>[]</v>
      </c>
      <c r="V50" s="94" t="str">
        <f t="shared" si="8"/>
        <v>12014,12016</v>
      </c>
    </row>
    <row r="51" spans="1:22" ht="13.5" customHeight="1">
      <c r="A51" s="26" t="s">
        <v>50</v>
      </c>
      <c r="B51" s="26"/>
      <c r="C51" s="26" t="s">
        <v>11</v>
      </c>
      <c r="D51" s="3">
        <v>13</v>
      </c>
      <c r="E51" s="3" t="s">
        <v>60</v>
      </c>
      <c r="F51" s="3" t="str">
        <f>C51&amp;D51</f>
        <v>橙13</v>
      </c>
      <c r="G51" s="3" t="s">
        <v>63</v>
      </c>
      <c r="H51" s="104" t="s">
        <v>103</v>
      </c>
      <c r="I51" s="105" t="s">
        <v>119</v>
      </c>
      <c r="J51" s="106" t="s">
        <v>122</v>
      </c>
      <c r="K51" s="105" t="s">
        <v>124</v>
      </c>
      <c r="M51" s="93" t="s">
        <v>199</v>
      </c>
      <c r="N51" s="94" t="str">
        <f t="shared" si="1"/>
        <v>迷蝶铃</v>
      </c>
      <c r="O51" s="94" t="str">
        <f t="shared" si="2"/>
        <v>龙纹镜</v>
      </c>
      <c r="P51" s="94" t="s">
        <v>732</v>
      </c>
      <c r="Q51" s="94" t="s">
        <v>732</v>
      </c>
      <c r="R51" s="94">
        <f>IFERROR(VLOOKUP(N51,IF({1,0},$Y$12:$Y$21,$X$12:$X$21),2,0),"[]")</f>
        <v>12014</v>
      </c>
      <c r="S51" s="94">
        <f>IFERROR(VLOOKUP(O51,IF({1,0},$Y$12:$Y$21,$X$12:$X$21),2,0),"[]")</f>
        <v>12016</v>
      </c>
      <c r="T51" s="94" t="str">
        <f>IFERROR(VLOOKUP(P51,IF({1,0},$Y$12:$Y$25,$X$12:$X$25),2,0),"[]")</f>
        <v>[]</v>
      </c>
      <c r="U51" s="94" t="str">
        <f>IFERROR(VLOOKUP(Q51,IF({1,0},$Y$12:$Y$25,$X$12:$X$25),2,0),"[]")</f>
        <v>[]</v>
      </c>
      <c r="V51" s="94" t="str">
        <f t="shared" si="8"/>
        <v>12014,12016</v>
      </c>
    </row>
    <row r="52" spans="1:22" ht="13.5" customHeight="1">
      <c r="A52" s="26" t="s">
        <v>25</v>
      </c>
      <c r="B52" s="26"/>
      <c r="C52" s="26" t="s">
        <v>11</v>
      </c>
      <c r="D52" s="3">
        <v>13</v>
      </c>
      <c r="E52" s="3" t="s">
        <v>60</v>
      </c>
      <c r="F52" s="3" t="str">
        <f>C52&amp;D52</f>
        <v>橙13</v>
      </c>
      <c r="G52" s="3" t="s">
        <v>65</v>
      </c>
      <c r="H52" s="104" t="s">
        <v>118</v>
      </c>
      <c r="I52" s="105" t="s">
        <v>120</v>
      </c>
      <c r="J52" s="106" t="s">
        <v>121</v>
      </c>
      <c r="K52" s="105" t="s">
        <v>123</v>
      </c>
      <c r="M52" s="93" t="s">
        <v>20</v>
      </c>
      <c r="N52" s="94" t="str">
        <f t="shared" si="1"/>
        <v>樱月铃</v>
      </c>
      <c r="O52" s="94" t="str">
        <f t="shared" si="2"/>
        <v>八卦镜</v>
      </c>
      <c r="P52" s="94" t="s">
        <v>732</v>
      </c>
      <c r="Q52" s="94" t="s">
        <v>732</v>
      </c>
      <c r="R52" s="94">
        <f>IFERROR(VLOOKUP(N52,IF({1,0},$Y$12:$Y$21,$X$12:$X$21),2,0),"[]")</f>
        <v>12013</v>
      </c>
      <c r="S52" s="94">
        <f>IFERROR(VLOOKUP(O52,IF({1,0},$Y$12:$Y$21,$X$12:$X$21),2,0),"[]")</f>
        <v>12015</v>
      </c>
      <c r="T52" s="94" t="str">
        <f>IFERROR(VLOOKUP(P52,IF({1,0},$Y$12:$Y$25,$X$12:$X$25),2,0),"[]")</f>
        <v>[]</v>
      </c>
      <c r="U52" s="94" t="str">
        <f>IFERROR(VLOOKUP(Q52,IF({1,0},$Y$12:$Y$25,$X$12:$X$25),2,0),"[]")</f>
        <v>[]</v>
      </c>
      <c r="V52" s="94" t="str">
        <f t="shared" si="8"/>
        <v>12013,12015</v>
      </c>
    </row>
    <row r="53" spans="1:22" ht="13.5" customHeight="1">
      <c r="A53" s="26" t="s">
        <v>21</v>
      </c>
      <c r="B53" s="26"/>
      <c r="C53" s="26" t="s">
        <v>11</v>
      </c>
      <c r="D53" s="3">
        <v>13</v>
      </c>
      <c r="E53" s="3" t="s">
        <v>60</v>
      </c>
      <c r="F53" s="3" t="str">
        <f>C53&amp;D53</f>
        <v>橙13</v>
      </c>
      <c r="G53" s="3" t="s">
        <v>65</v>
      </c>
      <c r="H53" s="104" t="s">
        <v>103</v>
      </c>
      <c r="I53" s="105" t="s">
        <v>119</v>
      </c>
      <c r="J53" s="106" t="s">
        <v>121</v>
      </c>
      <c r="K53" s="105" t="s">
        <v>123</v>
      </c>
      <c r="M53" s="93" t="s">
        <v>486</v>
      </c>
      <c r="N53" s="94" t="str">
        <f t="shared" si="1"/>
        <v>樱月铃</v>
      </c>
      <c r="O53" s="94" t="str">
        <f t="shared" si="2"/>
        <v>八卦镜</v>
      </c>
      <c r="P53" s="94" t="s">
        <v>732</v>
      </c>
      <c r="Q53" s="94" t="s">
        <v>732</v>
      </c>
      <c r="R53" s="94">
        <f>IFERROR(VLOOKUP(N53,IF({1,0},$Y$12:$Y$21,$X$12:$X$21),2,0),"[]")</f>
        <v>12013</v>
      </c>
      <c r="S53" s="94">
        <f>IFERROR(VLOOKUP(O53,IF({1,0},$Y$12:$Y$21,$X$12:$X$21),2,0),"[]")</f>
        <v>12015</v>
      </c>
      <c r="T53" s="94" t="str">
        <f>IFERROR(VLOOKUP(P53,IF({1,0},$Y$12:$Y$25,$X$12:$X$25),2,0),"[]")</f>
        <v>[]</v>
      </c>
      <c r="U53" s="94" t="str">
        <f>IFERROR(VLOOKUP(Q53,IF({1,0},$Y$12:$Y$25,$X$12:$X$25),2,0),"[]")</f>
        <v>[]</v>
      </c>
      <c r="V53" s="94" t="str">
        <f t="shared" si="8"/>
        <v>12013,12015</v>
      </c>
    </row>
    <row r="54" spans="1:22" ht="13.5" customHeight="1">
      <c r="A54" s="26" t="s">
        <v>85</v>
      </c>
      <c r="B54" s="26"/>
      <c r="C54" s="26" t="s">
        <v>11</v>
      </c>
      <c r="D54" s="3">
        <v>13</v>
      </c>
      <c r="E54" s="3" t="s">
        <v>60</v>
      </c>
      <c r="F54" s="3" t="str">
        <f t="shared" si="0"/>
        <v>橙13</v>
      </c>
      <c r="G54" s="3" t="s">
        <v>63</v>
      </c>
      <c r="H54" s="104" t="s">
        <v>103</v>
      </c>
      <c r="I54" s="105" t="s">
        <v>119</v>
      </c>
      <c r="J54" s="106" t="s">
        <v>122</v>
      </c>
      <c r="K54" s="105" t="s">
        <v>124</v>
      </c>
      <c r="M54" s="95" t="s">
        <v>57</v>
      </c>
      <c r="N54" s="94" t="str">
        <f t="shared" si="1"/>
        <v>樱月铃</v>
      </c>
      <c r="O54" s="94" t="str">
        <f t="shared" si="2"/>
        <v>八卦镜</v>
      </c>
      <c r="P54" s="94" t="s">
        <v>732</v>
      </c>
      <c r="Q54" s="94" t="s">
        <v>732</v>
      </c>
      <c r="R54" s="94">
        <f>IFERROR(VLOOKUP(N54,IF({1,0},$Y$12:$Y$21,$X$12:$X$21),2,0),"[]")</f>
        <v>12013</v>
      </c>
      <c r="S54" s="94">
        <f>IFERROR(VLOOKUP(O54,IF({1,0},$Y$12:$Y$21,$X$12:$X$21),2,0),"[]")</f>
        <v>12015</v>
      </c>
      <c r="T54" s="94" t="str">
        <f>IFERROR(VLOOKUP(P54,IF({1,0},$Y$12:$Y$25,$X$12:$X$25),2,0),"[]")</f>
        <v>[]</v>
      </c>
      <c r="U54" s="94" t="str">
        <f>IFERROR(VLOOKUP(Q54,IF({1,0},$Y$12:$Y$25,$X$12:$X$25),2,0),"[]")</f>
        <v>[]</v>
      </c>
      <c r="V54" s="94" t="str">
        <f t="shared" si="8"/>
        <v>12013,12015</v>
      </c>
    </row>
    <row r="55" spans="1:22" ht="13.5" customHeight="1">
      <c r="A55" s="26" t="s">
        <v>162</v>
      </c>
      <c r="B55" s="26"/>
      <c r="C55" s="26" t="s">
        <v>11</v>
      </c>
      <c r="D55" s="3">
        <v>13</v>
      </c>
      <c r="E55" s="3" t="s">
        <v>60</v>
      </c>
      <c r="F55" s="3" t="str">
        <f t="shared" si="0"/>
        <v>橙13</v>
      </c>
      <c r="G55" s="3" t="s">
        <v>67</v>
      </c>
      <c r="H55" s="104" t="s">
        <v>118</v>
      </c>
      <c r="I55" s="105" t="s">
        <v>120</v>
      </c>
      <c r="J55" s="106" t="s">
        <v>122</v>
      </c>
      <c r="K55" s="105" t="s">
        <v>124</v>
      </c>
      <c r="M55" s="93" t="s">
        <v>49</v>
      </c>
      <c r="N55" s="94" t="str">
        <f t="shared" si="1"/>
        <v>樱月铃</v>
      </c>
      <c r="O55" s="94" t="str">
        <f t="shared" si="2"/>
        <v>八卦镜</v>
      </c>
      <c r="P55" s="94" t="s">
        <v>732</v>
      </c>
      <c r="Q55" s="94" t="s">
        <v>732</v>
      </c>
      <c r="R55" s="94">
        <f>IFERROR(VLOOKUP(N55,IF({1,0},$Y$12:$Y$21,$X$12:$X$21),2,0),"[]")</f>
        <v>12013</v>
      </c>
      <c r="S55" s="94">
        <f>IFERROR(VLOOKUP(O55,IF({1,0},$Y$12:$Y$21,$X$12:$X$21),2,0),"[]")</f>
        <v>12015</v>
      </c>
      <c r="T55" s="94" t="str">
        <f>IFERROR(VLOOKUP(P55,IF({1,0},$Y$12:$Y$25,$X$12:$X$25),2,0),"[]")</f>
        <v>[]</v>
      </c>
      <c r="U55" s="94" t="str">
        <f>IFERROR(VLOOKUP(Q55,IF({1,0},$Y$12:$Y$25,$X$12:$X$25),2,0),"[]")</f>
        <v>[]</v>
      </c>
      <c r="V55" s="94" t="str">
        <f t="shared" si="8"/>
        <v>12013,12015</v>
      </c>
    </row>
    <row r="56" spans="1:22" ht="13.5" customHeight="1">
      <c r="A56" s="10" t="s">
        <v>51</v>
      </c>
      <c r="B56" s="10"/>
      <c r="C56" s="10" t="s">
        <v>19</v>
      </c>
      <c r="D56" s="3">
        <v>11</v>
      </c>
      <c r="E56" s="3" t="s">
        <v>60</v>
      </c>
      <c r="F56" s="3" t="str">
        <f t="shared" si="0"/>
        <v>紫11</v>
      </c>
      <c r="G56" s="3" t="s">
        <v>64</v>
      </c>
      <c r="H56" s="104" t="s">
        <v>114</v>
      </c>
      <c r="I56" s="105" t="s">
        <v>116</v>
      </c>
      <c r="M56" s="93" t="s">
        <v>56</v>
      </c>
      <c r="N56" s="94" t="str">
        <f t="shared" si="1"/>
        <v>迷蝶铃</v>
      </c>
      <c r="O56" s="94" t="str">
        <f t="shared" si="2"/>
        <v>龙纹镜</v>
      </c>
      <c r="P56" s="94" t="s">
        <v>732</v>
      </c>
      <c r="Q56" s="94" t="s">
        <v>732</v>
      </c>
      <c r="R56" s="94">
        <f>IFERROR(VLOOKUP(N56,IF({1,0},$Y$12:$Y$21,$X$12:$X$21),2,0),"[]")</f>
        <v>12014</v>
      </c>
      <c r="S56" s="94">
        <f>IFERROR(VLOOKUP(O56,IF({1,0},$Y$12:$Y$21,$X$12:$X$21),2,0),"[]")</f>
        <v>12016</v>
      </c>
      <c r="T56" s="94" t="str">
        <f>IFERROR(VLOOKUP(P56,IF({1,0},$Y$12:$Y$25,$X$12:$X$25),2,0),"[]")</f>
        <v>[]</v>
      </c>
      <c r="U56" s="94" t="str">
        <f>IFERROR(VLOOKUP(Q56,IF({1,0},$Y$12:$Y$25,$X$12:$X$25),2,0),"[]")</f>
        <v>[]</v>
      </c>
      <c r="V56" s="94" t="str">
        <f t="shared" si="8"/>
        <v>12014,12016</v>
      </c>
    </row>
    <row r="57" spans="1:22" ht="13.5" customHeight="1">
      <c r="A57" s="10" t="s">
        <v>49</v>
      </c>
      <c r="B57" s="10"/>
      <c r="C57" s="10" t="s">
        <v>19</v>
      </c>
      <c r="D57" s="3">
        <v>11</v>
      </c>
      <c r="E57" s="3" t="s">
        <v>60</v>
      </c>
      <c r="F57" s="3" t="str">
        <f>C57&amp;D57</f>
        <v>紫11</v>
      </c>
      <c r="G57" s="3" t="s">
        <v>65</v>
      </c>
      <c r="H57" s="104" t="s">
        <v>114</v>
      </c>
      <c r="I57" s="105" t="s">
        <v>116</v>
      </c>
      <c r="M57" s="93" t="s">
        <v>157</v>
      </c>
      <c r="N57" s="94" t="str">
        <f t="shared" si="1"/>
        <v>迷蝶铃</v>
      </c>
      <c r="O57" s="94" t="str">
        <f t="shared" si="2"/>
        <v>龙纹镜</v>
      </c>
      <c r="P57" s="94" t="s">
        <v>732</v>
      </c>
      <c r="Q57" s="94" t="s">
        <v>732</v>
      </c>
      <c r="R57" s="94">
        <f>IFERROR(VLOOKUP(N57,IF({1,0},$Y$12:$Y$21,$X$12:$X$21),2,0),"[]")</f>
        <v>12014</v>
      </c>
      <c r="S57" s="94">
        <f>IFERROR(VLOOKUP(O57,IF({1,0},$Y$12:$Y$21,$X$12:$X$21),2,0),"[]")</f>
        <v>12016</v>
      </c>
      <c r="T57" s="94" t="str">
        <f>IFERROR(VLOOKUP(P57,IF({1,0},$Y$12:$Y$25,$X$12:$X$25),2,0),"[]")</f>
        <v>[]</v>
      </c>
      <c r="U57" s="94" t="str">
        <f>IFERROR(VLOOKUP(Q57,IF({1,0},$Y$12:$Y$25,$X$12:$X$25),2,0),"[]")</f>
        <v>[]</v>
      </c>
      <c r="V57" s="94" t="str">
        <f t="shared" si="8"/>
        <v>12014,12016</v>
      </c>
    </row>
    <row r="58" spans="1:22" ht="13.5" customHeight="1">
      <c r="A58" s="10" t="s">
        <v>56</v>
      </c>
      <c r="B58" s="10"/>
      <c r="C58" s="10" t="s">
        <v>18</v>
      </c>
      <c r="D58" s="3">
        <v>11</v>
      </c>
      <c r="E58" s="3" t="s">
        <v>60</v>
      </c>
      <c r="F58" s="3" t="str">
        <f t="shared" si="0"/>
        <v>紫11</v>
      </c>
      <c r="G58" s="3" t="s">
        <v>66</v>
      </c>
      <c r="H58" s="106" t="s">
        <v>115</v>
      </c>
      <c r="I58" s="105" t="s">
        <v>117</v>
      </c>
      <c r="M58" s="93" t="s">
        <v>55</v>
      </c>
      <c r="N58" s="94" t="str">
        <f t="shared" si="1"/>
        <v>迷蝶铃</v>
      </c>
      <c r="O58" s="94" t="str">
        <f t="shared" si="2"/>
        <v>龙纹镜</v>
      </c>
      <c r="P58" s="94" t="s">
        <v>732</v>
      </c>
      <c r="Q58" s="94" t="s">
        <v>732</v>
      </c>
      <c r="R58" s="94">
        <f>IFERROR(VLOOKUP(N58,IF({1,0},$Y$12:$Y$21,$X$12:$X$21),2,0),"[]")</f>
        <v>12014</v>
      </c>
      <c r="S58" s="94">
        <f>IFERROR(VLOOKUP(O58,IF({1,0},$Y$12:$Y$21,$X$12:$X$21),2,0),"[]")</f>
        <v>12016</v>
      </c>
      <c r="T58" s="94" t="str">
        <f>IFERROR(VLOOKUP(P58,IF({1,0},$Y$12:$Y$25,$X$12:$X$25),2,0),"[]")</f>
        <v>[]</v>
      </c>
      <c r="U58" s="94" t="str">
        <f>IFERROR(VLOOKUP(Q58,IF({1,0},$Y$12:$Y$25,$X$12:$X$25),2,0),"[]")</f>
        <v>[]</v>
      </c>
      <c r="V58" s="94" t="str">
        <f t="shared" si="8"/>
        <v>12014,12016</v>
      </c>
    </row>
    <row r="59" spans="1:22" ht="13.5" customHeight="1">
      <c r="A59" s="46" t="s">
        <v>150</v>
      </c>
      <c r="B59" s="10"/>
      <c r="C59" s="46" t="s">
        <v>18</v>
      </c>
      <c r="D59" s="33">
        <v>11</v>
      </c>
      <c r="E59" s="3" t="s">
        <v>60</v>
      </c>
      <c r="F59" s="33" t="str">
        <f>C59&amp;D59</f>
        <v>紫11</v>
      </c>
      <c r="G59" s="33" t="s">
        <v>65</v>
      </c>
      <c r="H59" s="104" t="s">
        <v>114</v>
      </c>
      <c r="I59" s="105" t="s">
        <v>116</v>
      </c>
      <c r="M59" s="93" t="s">
        <v>207</v>
      </c>
      <c r="N59" s="94" t="str">
        <f t="shared" si="1"/>
        <v>迷蝶铃</v>
      </c>
      <c r="O59" s="94" t="str">
        <f t="shared" si="2"/>
        <v>龙纹镜</v>
      </c>
      <c r="P59" s="94" t="s">
        <v>732</v>
      </c>
      <c r="Q59" s="94" t="s">
        <v>732</v>
      </c>
      <c r="R59" s="94">
        <f>IFERROR(VLOOKUP(N59,IF({1,0},$Y$12:$Y$21,$X$12:$X$21),2,0),"[]")</f>
        <v>12014</v>
      </c>
      <c r="S59" s="94">
        <f>IFERROR(VLOOKUP(O59,IF({1,0},$Y$12:$Y$21,$X$12:$X$21),2,0),"[]")</f>
        <v>12016</v>
      </c>
      <c r="T59" s="94" t="str">
        <f>IFERROR(VLOOKUP(P59,IF({1,0},$Y$12:$Y$25,$X$12:$X$25),2,0),"[]")</f>
        <v>[]</v>
      </c>
      <c r="U59" s="94" t="str">
        <f>IFERROR(VLOOKUP(Q59,IF({1,0},$Y$12:$Y$25,$X$12:$X$25),2,0),"[]")</f>
        <v>[]</v>
      </c>
      <c r="V59" s="94" t="str">
        <f t="shared" si="8"/>
        <v>12014,12016</v>
      </c>
    </row>
    <row r="60" spans="1:22" ht="13.5" customHeight="1">
      <c r="A60" s="10" t="s">
        <v>154</v>
      </c>
      <c r="B60" s="10"/>
      <c r="C60" s="10" t="s">
        <v>19</v>
      </c>
      <c r="D60" s="3">
        <v>11</v>
      </c>
      <c r="E60" s="3" t="s">
        <v>60</v>
      </c>
      <c r="F60" s="3" t="str">
        <f t="shared" ref="F60" si="10">C60&amp;D60</f>
        <v>紫11</v>
      </c>
      <c r="G60" s="3" t="s">
        <v>68</v>
      </c>
      <c r="H60" s="106" t="s">
        <v>115</v>
      </c>
      <c r="I60" s="105" t="s">
        <v>117</v>
      </c>
      <c r="M60" s="93" t="s">
        <v>215</v>
      </c>
      <c r="N60" s="94" t="str">
        <f t="shared" si="1"/>
        <v>迷蝶铃</v>
      </c>
      <c r="O60" s="94" t="str">
        <f t="shared" si="2"/>
        <v>龙纹镜</v>
      </c>
      <c r="P60" s="94" t="s">
        <v>732</v>
      </c>
      <c r="Q60" s="94" t="s">
        <v>732</v>
      </c>
      <c r="R60" s="94">
        <f>IFERROR(VLOOKUP(N60,IF({1,0},$Y$12:$Y$21,$X$12:$X$21),2,0),"[]")</f>
        <v>12014</v>
      </c>
      <c r="S60" s="94">
        <f>IFERROR(VLOOKUP(O60,IF({1,0},$Y$12:$Y$21,$X$12:$X$21),2,0),"[]")</f>
        <v>12016</v>
      </c>
      <c r="T60" s="94" t="str">
        <f>IFERROR(VLOOKUP(P60,IF({1,0},$Y$12:$Y$25,$X$12:$X$25),2,0),"[]")</f>
        <v>[]</v>
      </c>
      <c r="U60" s="94" t="str">
        <f>IFERROR(VLOOKUP(Q60,IF({1,0},$Y$12:$Y$25,$X$12:$X$25),2,0),"[]")</f>
        <v>[]</v>
      </c>
      <c r="V60" s="94" t="str">
        <f t="shared" si="8"/>
        <v>12014,12016</v>
      </c>
    </row>
    <row r="61" spans="1:22" ht="13.5" customHeight="1">
      <c r="A61" s="46" t="s">
        <v>32</v>
      </c>
      <c r="B61" s="10"/>
      <c r="C61" s="46" t="s">
        <v>18</v>
      </c>
      <c r="D61" s="33">
        <v>11</v>
      </c>
      <c r="E61" s="3" t="s">
        <v>60</v>
      </c>
      <c r="F61" s="33" t="str">
        <f>C61&amp;D61</f>
        <v>紫11</v>
      </c>
      <c r="G61" s="33" t="s">
        <v>65</v>
      </c>
      <c r="H61" s="106" t="s">
        <v>115</v>
      </c>
      <c r="I61" s="105" t="s">
        <v>117</v>
      </c>
      <c r="M61" s="93" t="s">
        <v>160</v>
      </c>
      <c r="N61" s="94" t="str">
        <f t="shared" si="1"/>
        <v>迷蝶铃</v>
      </c>
      <c r="O61" s="94" t="str">
        <f t="shared" si="2"/>
        <v>龙纹镜</v>
      </c>
      <c r="P61" s="94" t="s">
        <v>733</v>
      </c>
      <c r="Q61" s="94" t="s">
        <v>732</v>
      </c>
      <c r="R61" s="94">
        <f>IFERROR(VLOOKUP(N61,IF({1,0},$Y$12:$Y$21,$X$12:$X$21),2,0),"[]")</f>
        <v>12014</v>
      </c>
      <c r="S61" s="94">
        <f>IFERROR(VLOOKUP(O61,IF({1,0},$Y$12:$Y$21,$X$12:$X$21),2,0),"[]")</f>
        <v>12016</v>
      </c>
      <c r="T61" s="94" t="str">
        <f>IFERROR(VLOOKUP(P61,IF({1,0},$Y$12:$Y$25,$X$12:$X$25),2,0),"[]")</f>
        <v>[]</v>
      </c>
      <c r="U61" s="94" t="str">
        <f>IFERROR(VLOOKUP(Q61,IF({1,0},$Y$12:$Y$25,$X$12:$X$25),2,0),"[]")</f>
        <v>[]</v>
      </c>
      <c r="V61" s="94" t="str">
        <f>R61&amp;","&amp;S61</f>
        <v>12014,12016</v>
      </c>
    </row>
    <row r="62" spans="1:22" ht="13.5" customHeight="1">
      <c r="M62" s="100" t="s">
        <v>202</v>
      </c>
      <c r="N62" s="94" t="str">
        <f t="shared" si="1"/>
        <v>[]</v>
      </c>
      <c r="O62" s="94" t="str">
        <f t="shared" si="2"/>
        <v>[]</v>
      </c>
      <c r="P62" s="94" t="str">
        <f>IFERROR(VLOOKUP(M62,$A$2:$K$61,10,FALSE),"[]")</f>
        <v>[]</v>
      </c>
      <c r="Q62" s="94" t="str">
        <f t="shared" si="7"/>
        <v>[]</v>
      </c>
      <c r="R62" s="94" t="str">
        <f>IFERROR(VLOOKUP(N62,IF({1,0},$Y$12:$Y$21,$X$12:$X$21),2,0),"[]")</f>
        <v>[]</v>
      </c>
      <c r="S62" s="94" t="str">
        <f>IFERROR(VLOOKUP(O62,IF({1,0},$Y$12:$Y$21,$X$12:$X$21),2,0),"[]")</f>
        <v>[]</v>
      </c>
      <c r="T62" s="94" t="str">
        <f>IFERROR(VLOOKUP(P62,IF({1,0},$Y$12:$Y$25,$X$12:$X$25),2,0),"[]")</f>
        <v>[]</v>
      </c>
      <c r="U62" s="94" t="str">
        <f>IFERROR(VLOOKUP(Q62,IF({1,0},$Y$12:$Y$25,$X$12:$X$25),2,0),"[]")</f>
        <v>[]</v>
      </c>
      <c r="V62" s="94" t="str">
        <f>IFERROR(VLOOKUP(R62,IF({1,0},$Y$12:$Y$21,$X$12:$X$21),2,0),"[]")</f>
        <v>[]</v>
      </c>
    </row>
    <row r="63" spans="1:22" ht="13.5" customHeight="1">
      <c r="M63" s="93" t="s">
        <v>203</v>
      </c>
      <c r="N63" s="94" t="str">
        <f t="shared" si="1"/>
        <v>[]</v>
      </c>
      <c r="O63" s="94" t="str">
        <f t="shared" si="2"/>
        <v>[]</v>
      </c>
      <c r="P63" s="94" t="str">
        <f t="shared" si="6"/>
        <v>[]</v>
      </c>
      <c r="Q63" s="94" t="str">
        <f t="shared" si="7"/>
        <v>[]</v>
      </c>
      <c r="R63" s="94" t="str">
        <f>IFERROR(VLOOKUP(N63,IF({1,0},$Y$12:$Y$21,$X$12:$X$21),2,0),"[]")</f>
        <v>[]</v>
      </c>
      <c r="S63" s="94" t="str">
        <f>IFERROR(VLOOKUP(O63,IF({1,0},$Y$12:$Y$21,$X$12:$X$21),2,0),"[]")</f>
        <v>[]</v>
      </c>
      <c r="T63" s="94" t="str">
        <f>IFERROR(VLOOKUP(P63,IF({1,0},$Y$12:$Y$25,$X$12:$X$25),2,0),"[]")</f>
        <v>[]</v>
      </c>
      <c r="U63" s="94" t="str">
        <f>IFERROR(VLOOKUP(Q63,IF({1,0},$Y$12:$Y$25,$X$12:$X$25),2,0),"[]")</f>
        <v>[]</v>
      </c>
      <c r="V63" s="94" t="str">
        <f>IFERROR(VLOOKUP(R63,IF({1,0},$Y$12:$Y$21,$X$12:$X$21),2,0),"[]")</f>
        <v>[]</v>
      </c>
    </row>
    <row r="64" spans="1:22" ht="13.5" customHeight="1">
      <c r="B64" s="94" t="s">
        <v>659</v>
      </c>
      <c r="C64" s="94" t="s">
        <v>679</v>
      </c>
      <c r="M64" s="93" t="s">
        <v>487</v>
      </c>
      <c r="N64" s="94" t="str">
        <f t="shared" si="1"/>
        <v>[]</v>
      </c>
      <c r="O64" s="94" t="str">
        <f t="shared" si="2"/>
        <v>[]</v>
      </c>
      <c r="P64" s="94" t="str">
        <f t="shared" si="6"/>
        <v>[]</v>
      </c>
      <c r="Q64" s="94" t="str">
        <f t="shared" si="7"/>
        <v>[]</v>
      </c>
      <c r="R64" s="94" t="str">
        <f>IFERROR(VLOOKUP(N64,IF({1,0},$Y$12:$Y$21,$X$12:$X$21),2,0),"[]")</f>
        <v>[]</v>
      </c>
      <c r="S64" s="94" t="str">
        <f>IFERROR(VLOOKUP(O64,IF({1,0},$Y$12:$Y$21,$X$12:$X$21),2,0),"[]")</f>
        <v>[]</v>
      </c>
      <c r="T64" s="94" t="str">
        <f>IFERROR(VLOOKUP(P64,IF({1,0},$Y$12:$Y$25,$X$12:$X$25),2,0),"[]")</f>
        <v>[]</v>
      </c>
      <c r="U64" s="94" t="str">
        <f>IFERROR(VLOOKUP(Q64,IF({1,0},$Y$12:$Y$25,$X$12:$X$25),2,0),"[]")</f>
        <v>[]</v>
      </c>
      <c r="V64" s="94" t="str">
        <f>IFERROR(VLOOKUP(R64,IF({1,0},$Y$12:$Y$21,$X$12:$X$21),2,0),"[]")</f>
        <v>[]</v>
      </c>
    </row>
    <row r="65" spans="2:22" ht="13.5" customHeight="1">
      <c r="B65" s="94" t="s">
        <v>661</v>
      </c>
      <c r="C65" s="94" t="s">
        <v>676</v>
      </c>
      <c r="M65" s="93" t="s">
        <v>488</v>
      </c>
      <c r="N65" s="94" t="str">
        <f t="shared" si="1"/>
        <v>[]</v>
      </c>
      <c r="O65" s="94" t="str">
        <f t="shared" si="2"/>
        <v>[]</v>
      </c>
      <c r="P65" s="94" t="str">
        <f t="shared" si="6"/>
        <v>[]</v>
      </c>
      <c r="Q65" s="94" t="str">
        <f t="shared" si="7"/>
        <v>[]</v>
      </c>
      <c r="R65" s="94" t="str">
        <f>IFERROR(VLOOKUP(N65,IF({1,0},$Y$12:$Y$21,$X$12:$X$21),2,0),"[]")</f>
        <v>[]</v>
      </c>
      <c r="S65" s="94" t="str">
        <f>IFERROR(VLOOKUP(O65,IF({1,0},$Y$12:$Y$21,$X$12:$X$21),2,0),"[]")</f>
        <v>[]</v>
      </c>
      <c r="T65" s="94" t="str">
        <f>IFERROR(VLOOKUP(P65,IF({1,0},$Y$12:$Y$25,$X$12:$X$25),2,0),"[]")</f>
        <v>[]</v>
      </c>
      <c r="U65" s="94" t="str">
        <f>IFERROR(VLOOKUP(Q65,IF({1,0},$Y$12:$Y$25,$X$12:$X$25),2,0),"[]")</f>
        <v>[]</v>
      </c>
      <c r="V65" s="94" t="str">
        <f>IFERROR(VLOOKUP(R65,IF({1,0},$Y$12:$Y$21,$X$12:$X$21),2,0),"[]")</f>
        <v>[]</v>
      </c>
    </row>
    <row r="66" spans="2:22" ht="13.5" customHeight="1">
      <c r="B66" s="94" t="s">
        <v>674</v>
      </c>
      <c r="C66" s="94" t="s">
        <v>675</v>
      </c>
      <c r="M66" s="93" t="s">
        <v>489</v>
      </c>
      <c r="N66" s="94" t="str">
        <f t="shared" si="1"/>
        <v>[]</v>
      </c>
      <c r="O66" s="94" t="str">
        <f t="shared" si="2"/>
        <v>[]</v>
      </c>
      <c r="P66" s="94" t="str">
        <f t="shared" si="6"/>
        <v>[]</v>
      </c>
      <c r="Q66" s="94" t="str">
        <f t="shared" si="7"/>
        <v>[]</v>
      </c>
      <c r="R66" s="94" t="str">
        <f>IFERROR(VLOOKUP(N66,IF({1,0},$Y$12:$Y$21,$X$12:$X$21),2,0),"[]")</f>
        <v>[]</v>
      </c>
      <c r="S66" s="94" t="str">
        <f>IFERROR(VLOOKUP(O66,IF({1,0},$Y$12:$Y$21,$X$12:$X$21),2,0),"[]")</f>
        <v>[]</v>
      </c>
      <c r="T66" s="94" t="str">
        <f>IFERROR(VLOOKUP(P66,IF({1,0},$Y$12:$Y$25,$X$12:$X$25),2,0),"[]")</f>
        <v>[]</v>
      </c>
      <c r="U66" s="94" t="str">
        <f>IFERROR(VLOOKUP(Q66,IF({1,0},$Y$12:$Y$25,$X$12:$X$25),2,0),"[]")</f>
        <v>[]</v>
      </c>
      <c r="V66" s="94" t="str">
        <f>IFERROR(VLOOKUP(R66,IF({1,0},$Y$12:$Y$21,$X$12:$X$21),2,0),"[]")</f>
        <v>[]</v>
      </c>
    </row>
    <row r="67" spans="2:22" ht="13.5" customHeight="1">
      <c r="B67" s="94" t="s">
        <v>665</v>
      </c>
      <c r="C67" s="94" t="s">
        <v>678</v>
      </c>
      <c r="M67" s="93" t="s">
        <v>490</v>
      </c>
      <c r="N67" s="94" t="str">
        <f t="shared" si="1"/>
        <v>[]</v>
      </c>
      <c r="O67" s="94" t="str">
        <f t="shared" si="2"/>
        <v>[]</v>
      </c>
      <c r="P67" s="94" t="str">
        <f t="shared" si="6"/>
        <v>[]</v>
      </c>
      <c r="Q67" s="94" t="str">
        <f t="shared" si="7"/>
        <v>[]</v>
      </c>
      <c r="R67" s="94" t="str">
        <f>IFERROR(VLOOKUP(N67,IF({1,0},$Y$12:$Y$21,$X$12:$X$21),2,0),"[]")</f>
        <v>[]</v>
      </c>
      <c r="S67" s="94" t="str">
        <f>IFERROR(VLOOKUP(O67,IF({1,0},$Y$12:$Y$21,$X$12:$X$21),2,0),"[]")</f>
        <v>[]</v>
      </c>
      <c r="T67" s="94" t="str">
        <f>IFERROR(VLOOKUP(P67,IF({1,0},$Y$12:$Y$25,$X$12:$X$25),2,0),"[]")</f>
        <v>[]</v>
      </c>
      <c r="U67" s="94" t="str">
        <f>IFERROR(VLOOKUP(Q67,IF({1,0},$Y$12:$Y$25,$X$12:$X$25),2,0),"[]")</f>
        <v>[]</v>
      </c>
      <c r="V67" s="94" t="str">
        <f>IFERROR(VLOOKUP(R67,IF({1,0},$Y$12:$Y$21,$X$12:$X$21),2,0),"[]")</f>
        <v>[]</v>
      </c>
    </row>
    <row r="68" spans="2:22" ht="13.5" customHeight="1">
      <c r="B68" s="94" t="s">
        <v>677</v>
      </c>
      <c r="C68" s="94" t="s">
        <v>680</v>
      </c>
      <c r="M68" s="93" t="s">
        <v>491</v>
      </c>
      <c r="N68" s="94" t="str">
        <f t="shared" ref="N68:N116" si="11">IFERROR(VLOOKUP(M68,$A$2:$I$61,8,FALSE),"[]")</f>
        <v>[]</v>
      </c>
      <c r="O68" s="94" t="str">
        <f t="shared" ref="O68:O116" si="12">IFERROR(VLOOKUP(M68,$A$2:$I$61,9,FALSE),"[]")</f>
        <v>[]</v>
      </c>
      <c r="P68" s="94" t="str">
        <f t="shared" si="6"/>
        <v>[]</v>
      </c>
      <c r="Q68" s="94" t="str">
        <f t="shared" si="7"/>
        <v>[]</v>
      </c>
      <c r="R68" s="94" t="str">
        <f>IFERROR(VLOOKUP(N68,IF({1,0},$Y$12:$Y$21,$X$12:$X$21),2,0),"[]")</f>
        <v>[]</v>
      </c>
      <c r="S68" s="94" t="str">
        <f>IFERROR(VLOOKUP(O68,IF({1,0},$Y$12:$Y$21,$X$12:$X$21),2,0),"[]")</f>
        <v>[]</v>
      </c>
      <c r="T68" s="94" t="str">
        <f>IFERROR(VLOOKUP(P68,IF({1,0},$Y$12:$Y$25,$X$12:$X$25),2,0),"[]")</f>
        <v>[]</v>
      </c>
      <c r="U68" s="94" t="str">
        <f>IFERROR(VLOOKUP(Q68,IF({1,0},$Y$12:$Y$25,$X$12:$X$25),2,0),"[]")</f>
        <v>[]</v>
      </c>
      <c r="V68" s="94" t="str">
        <f>IFERROR(VLOOKUP(R68,IF({1,0},$Y$12:$Y$21,$X$12:$X$21),2,0),"[]")</f>
        <v>[]</v>
      </c>
    </row>
    <row r="69" spans="2:22" ht="13.5" customHeight="1">
      <c r="B69" s="94" t="s">
        <v>673</v>
      </c>
      <c r="C69" s="94" t="s">
        <v>731</v>
      </c>
      <c r="M69" s="93" t="s">
        <v>492</v>
      </c>
      <c r="N69" s="94" t="str">
        <f t="shared" si="11"/>
        <v>[]</v>
      </c>
      <c r="O69" s="94" t="str">
        <f t="shared" si="12"/>
        <v>[]</v>
      </c>
      <c r="P69" s="94" t="str">
        <f t="shared" si="6"/>
        <v>[]</v>
      </c>
      <c r="Q69" s="94" t="str">
        <f t="shared" si="7"/>
        <v>[]</v>
      </c>
      <c r="R69" s="94" t="str">
        <f>IFERROR(VLOOKUP(N69,IF({1,0},$Y$12:$Y$21,$X$12:$X$21),2,0),"[]")</f>
        <v>[]</v>
      </c>
      <c r="S69" s="94" t="str">
        <f>IFERROR(VLOOKUP(O69,IF({1,0},$Y$12:$Y$21,$X$12:$X$21),2,0),"[]")</f>
        <v>[]</v>
      </c>
      <c r="T69" s="94" t="str">
        <f>IFERROR(VLOOKUP(P69,IF({1,0},$Y$12:$Y$25,$X$12:$X$25),2,0),"[]")</f>
        <v>[]</v>
      </c>
      <c r="U69" s="94" t="str">
        <f>IFERROR(VLOOKUP(Q69,IF({1,0},$Y$12:$Y$25,$X$12:$X$25),2,0),"[]")</f>
        <v>[]</v>
      </c>
      <c r="V69" s="94" t="str">
        <f>IFERROR(VLOOKUP(R69,IF({1,0},$Y$12:$Y$21,$X$12:$X$21),2,0),"[]")</f>
        <v>[]</v>
      </c>
    </row>
    <row r="70" spans="2:22" ht="13.5" customHeight="1">
      <c r="B70" s="94" t="s">
        <v>669</v>
      </c>
      <c r="C70" s="94" t="s">
        <v>671</v>
      </c>
      <c r="M70" s="93" t="s">
        <v>493</v>
      </c>
      <c r="N70" s="94" t="str">
        <f t="shared" si="11"/>
        <v>[]</v>
      </c>
      <c r="O70" s="94" t="str">
        <f t="shared" si="12"/>
        <v>[]</v>
      </c>
      <c r="P70" s="94" t="str">
        <f t="shared" si="6"/>
        <v>[]</v>
      </c>
      <c r="Q70" s="94" t="str">
        <f t="shared" si="7"/>
        <v>[]</v>
      </c>
      <c r="R70" s="94" t="str">
        <f>IFERROR(VLOOKUP(N70,IF({1,0},$Y$12:$Y$21,$X$12:$X$21),2,0),"[]")</f>
        <v>[]</v>
      </c>
      <c r="S70" s="94" t="str">
        <f>IFERROR(VLOOKUP(O70,IF({1,0},$Y$12:$Y$21,$X$12:$X$21),2,0),"[]")</f>
        <v>[]</v>
      </c>
      <c r="T70" s="94" t="str">
        <f>IFERROR(VLOOKUP(P70,IF({1,0},$Y$12:$Y$25,$X$12:$X$25),2,0),"[]")</f>
        <v>[]</v>
      </c>
      <c r="U70" s="94" t="str">
        <f>IFERROR(VLOOKUP(Q70,IF({1,0},$Y$12:$Y$25,$X$12:$X$25),2,0),"[]")</f>
        <v>[]</v>
      </c>
      <c r="V70" s="94" t="str">
        <f>IFERROR(VLOOKUP(R70,IF({1,0},$Y$12:$Y$21,$X$12:$X$21),2,0),"[]")</f>
        <v>[]</v>
      </c>
    </row>
    <row r="71" spans="2:22" ht="13.5" customHeight="1">
      <c r="B71" s="94" t="s">
        <v>670</v>
      </c>
      <c r="C71" s="94" t="s">
        <v>672</v>
      </c>
      <c r="M71" s="93" t="s">
        <v>494</v>
      </c>
      <c r="N71" s="94" t="str">
        <f t="shared" si="11"/>
        <v>[]</v>
      </c>
      <c r="O71" s="94" t="str">
        <f t="shared" si="12"/>
        <v>[]</v>
      </c>
      <c r="P71" s="94" t="str">
        <f t="shared" si="6"/>
        <v>[]</v>
      </c>
      <c r="Q71" s="94" t="str">
        <f t="shared" si="7"/>
        <v>[]</v>
      </c>
      <c r="R71" s="94" t="str">
        <f>IFERROR(VLOOKUP(N71,IF({1,0},$Y$12:$Y$21,$X$12:$X$21),2,0),"[]")</f>
        <v>[]</v>
      </c>
      <c r="S71" s="94" t="str">
        <f>IFERROR(VLOOKUP(O71,IF({1,0},$Y$12:$Y$21,$X$12:$X$21),2,0),"[]")</f>
        <v>[]</v>
      </c>
      <c r="T71" s="94" t="str">
        <f>IFERROR(VLOOKUP(P71,IF({1,0},$Y$12:$Y$25,$X$12:$X$25),2,0),"[]")</f>
        <v>[]</v>
      </c>
      <c r="U71" s="94" t="str">
        <f>IFERROR(VLOOKUP(Q71,IF({1,0},$Y$12:$Y$25,$X$12:$X$25),2,0),"[]")</f>
        <v>[]</v>
      </c>
      <c r="V71" s="94" t="str">
        <f>IFERROR(VLOOKUP(R71,IF({1,0},$Y$12:$Y$21,$X$12:$X$21),2,0),"[]")</f>
        <v>[]</v>
      </c>
    </row>
    <row r="72" spans="2:22" ht="13.5" customHeight="1">
      <c r="M72" s="93" t="s">
        <v>213</v>
      </c>
      <c r="N72" s="94" t="str">
        <f t="shared" si="11"/>
        <v>[]</v>
      </c>
      <c r="O72" s="94" t="str">
        <f t="shared" si="12"/>
        <v>[]</v>
      </c>
      <c r="P72" s="94" t="str">
        <f t="shared" si="6"/>
        <v>[]</v>
      </c>
      <c r="Q72" s="94" t="str">
        <f t="shared" si="7"/>
        <v>[]</v>
      </c>
      <c r="R72" s="94" t="str">
        <f>IFERROR(VLOOKUP(N72,IF({1,0},$Y$12:$Y$21,$X$12:$X$21),2,0),"[]")</f>
        <v>[]</v>
      </c>
      <c r="S72" s="94" t="str">
        <f>IFERROR(VLOOKUP(O72,IF({1,0},$Y$12:$Y$21,$X$12:$X$21),2,0),"[]")</f>
        <v>[]</v>
      </c>
      <c r="T72" s="94" t="str">
        <f>IFERROR(VLOOKUP(P72,IF({1,0},$Y$12:$Y$25,$X$12:$X$25),2,0),"[]")</f>
        <v>[]</v>
      </c>
      <c r="U72" s="94" t="str">
        <f>IFERROR(VLOOKUP(Q72,IF({1,0},$Y$12:$Y$25,$X$12:$X$25),2,0),"[]")</f>
        <v>[]</v>
      </c>
      <c r="V72" s="94" t="str">
        <f>IFERROR(VLOOKUP(R72,IF({1,0},$Y$12:$Y$21,$X$12:$X$21),2,0),"[]")</f>
        <v>[]</v>
      </c>
    </row>
    <row r="73" spans="2:22" ht="13.5" customHeight="1">
      <c r="M73" s="93" t="s">
        <v>214</v>
      </c>
      <c r="N73" s="94" t="str">
        <f t="shared" si="11"/>
        <v>[]</v>
      </c>
      <c r="O73" s="94" t="str">
        <f t="shared" si="12"/>
        <v>[]</v>
      </c>
      <c r="P73" s="94" t="str">
        <f t="shared" si="6"/>
        <v>[]</v>
      </c>
      <c r="Q73" s="94" t="str">
        <f t="shared" si="7"/>
        <v>[]</v>
      </c>
      <c r="R73" s="94" t="str">
        <f>IFERROR(VLOOKUP(N73,IF({1,0},$Y$12:$Y$21,$X$12:$X$21),2,0),"[]")</f>
        <v>[]</v>
      </c>
      <c r="S73" s="94" t="str">
        <f>IFERROR(VLOOKUP(O73,IF({1,0},$Y$12:$Y$21,$X$12:$X$21),2,0),"[]")</f>
        <v>[]</v>
      </c>
      <c r="T73" s="94" t="str">
        <f>IFERROR(VLOOKUP(P73,IF({1,0},$Y$12:$Y$25,$X$12:$X$25),2,0),"[]")</f>
        <v>[]</v>
      </c>
      <c r="U73" s="94" t="str">
        <f>IFERROR(VLOOKUP(Q73,IF({1,0},$Y$12:$Y$25,$X$12:$X$25),2,0),"[]")</f>
        <v>[]</v>
      </c>
      <c r="V73" s="94" t="str">
        <f>IFERROR(VLOOKUP(R73,IF({1,0},$Y$12:$Y$21,$X$12:$X$21),2,0),"[]")</f>
        <v>[]</v>
      </c>
    </row>
    <row r="74" spans="2:22" ht="13.5" customHeight="1">
      <c r="M74" s="93" t="s">
        <v>216</v>
      </c>
      <c r="N74" s="94" t="str">
        <f t="shared" si="11"/>
        <v>[]</v>
      </c>
      <c r="O74" s="94" t="str">
        <f t="shared" si="12"/>
        <v>[]</v>
      </c>
      <c r="P74" s="94" t="str">
        <f t="shared" si="6"/>
        <v>[]</v>
      </c>
      <c r="Q74" s="94" t="str">
        <f t="shared" si="7"/>
        <v>[]</v>
      </c>
      <c r="R74" s="94" t="str">
        <f>IFERROR(VLOOKUP(N74,IF({1,0},$Y$12:$Y$21,$X$12:$X$21),2,0),"[]")</f>
        <v>[]</v>
      </c>
      <c r="S74" s="94" t="str">
        <f>IFERROR(VLOOKUP(O74,IF({1,0},$Y$12:$Y$21,$X$12:$X$21),2,0),"[]")</f>
        <v>[]</v>
      </c>
      <c r="T74" s="94" t="str">
        <f>IFERROR(VLOOKUP(P74,IF({1,0},$Y$12:$Y$25,$X$12:$X$25),2,0),"[]")</f>
        <v>[]</v>
      </c>
      <c r="U74" s="94" t="str">
        <f>IFERROR(VLOOKUP(Q74,IF({1,0},$Y$12:$Y$25,$X$12:$X$25),2,0),"[]")</f>
        <v>[]</v>
      </c>
      <c r="V74" s="94" t="str">
        <f>IFERROR(VLOOKUP(R74,IF({1,0},$Y$12:$Y$21,$X$12:$X$21),2,0),"[]")</f>
        <v>[]</v>
      </c>
    </row>
    <row r="75" spans="2:22" ht="13.5" customHeight="1">
      <c r="M75" s="93" t="s">
        <v>217</v>
      </c>
      <c r="N75" s="94" t="str">
        <f t="shared" si="11"/>
        <v>[]</v>
      </c>
      <c r="O75" s="94" t="str">
        <f t="shared" si="12"/>
        <v>[]</v>
      </c>
      <c r="P75" s="94" t="str">
        <f t="shared" si="6"/>
        <v>[]</v>
      </c>
      <c r="Q75" s="94" t="str">
        <f t="shared" si="7"/>
        <v>[]</v>
      </c>
      <c r="R75" s="94" t="str">
        <f>IFERROR(VLOOKUP(N75,IF({1,0},$Y$12:$Y$21,$X$12:$X$21),2,0),"[]")</f>
        <v>[]</v>
      </c>
      <c r="S75" s="94" t="str">
        <f>IFERROR(VLOOKUP(O75,IF({1,0},$Y$12:$Y$21,$X$12:$X$21),2,0),"[]")</f>
        <v>[]</v>
      </c>
      <c r="T75" s="94" t="str">
        <f>IFERROR(VLOOKUP(P75,IF({1,0},$Y$12:$Y$25,$X$12:$X$25),2,0),"[]")</f>
        <v>[]</v>
      </c>
      <c r="U75" s="94" t="str">
        <f>IFERROR(VLOOKUP(Q75,IF({1,0},$Y$12:$Y$25,$X$12:$X$25),2,0),"[]")</f>
        <v>[]</v>
      </c>
      <c r="V75" s="94" t="str">
        <f>IFERROR(VLOOKUP(R75,IF({1,0},$Y$12:$Y$21,$X$12:$X$21),2,0),"[]")</f>
        <v>[]</v>
      </c>
    </row>
    <row r="76" spans="2:22" ht="13.5" customHeight="1">
      <c r="M76" s="93" t="s">
        <v>218</v>
      </c>
      <c r="N76" s="94" t="str">
        <f t="shared" si="11"/>
        <v>[]</v>
      </c>
      <c r="O76" s="94" t="str">
        <f t="shared" si="12"/>
        <v>[]</v>
      </c>
      <c r="P76" s="94" t="str">
        <f t="shared" si="6"/>
        <v>[]</v>
      </c>
      <c r="Q76" s="94" t="str">
        <f t="shared" si="7"/>
        <v>[]</v>
      </c>
      <c r="R76" s="94" t="str">
        <f>IFERROR(VLOOKUP(N76,IF({1,0},$Y$12:$Y$21,$X$12:$X$21),2,0),"[]")</f>
        <v>[]</v>
      </c>
      <c r="S76" s="94" t="str">
        <f>IFERROR(VLOOKUP(O76,IF({1,0},$Y$12:$Y$21,$X$12:$X$21),2,0),"[]")</f>
        <v>[]</v>
      </c>
      <c r="T76" s="94" t="str">
        <f>IFERROR(VLOOKUP(P76,IF({1,0},$Y$12:$Y$25,$X$12:$X$25),2,0),"[]")</f>
        <v>[]</v>
      </c>
      <c r="U76" s="94" t="str">
        <f>IFERROR(VLOOKUP(Q76,IF({1,0},$Y$12:$Y$25,$X$12:$X$25),2,0),"[]")</f>
        <v>[]</v>
      </c>
      <c r="V76" s="94" t="str">
        <f>IFERROR(VLOOKUP(R76,IF({1,0},$Y$12:$Y$21,$X$12:$X$21),2,0),"[]")</f>
        <v>[]</v>
      </c>
    </row>
    <row r="77" spans="2:22" ht="13.5" customHeight="1">
      <c r="M77" s="93" t="s">
        <v>219</v>
      </c>
      <c r="N77" s="94" t="str">
        <f t="shared" si="11"/>
        <v>[]</v>
      </c>
      <c r="O77" s="94" t="str">
        <f t="shared" si="12"/>
        <v>[]</v>
      </c>
      <c r="P77" s="94" t="str">
        <f t="shared" si="6"/>
        <v>[]</v>
      </c>
      <c r="Q77" s="94" t="str">
        <f t="shared" si="7"/>
        <v>[]</v>
      </c>
      <c r="R77" s="94" t="str">
        <f>IFERROR(VLOOKUP(N77,IF({1,0},$Y$12:$Y$21,$X$12:$X$21),2,0),"[]")</f>
        <v>[]</v>
      </c>
      <c r="S77" s="94" t="str">
        <f>IFERROR(VLOOKUP(O77,IF({1,0},$Y$12:$Y$21,$X$12:$X$21),2,0),"[]")</f>
        <v>[]</v>
      </c>
      <c r="T77" s="94" t="str">
        <f>IFERROR(VLOOKUP(P77,IF({1,0},$Y$12:$Y$25,$X$12:$X$25),2,0),"[]")</f>
        <v>[]</v>
      </c>
      <c r="U77" s="94" t="str">
        <f>IFERROR(VLOOKUP(Q77,IF({1,0},$Y$12:$Y$25,$X$12:$X$25),2,0),"[]")</f>
        <v>[]</v>
      </c>
      <c r="V77" s="94" t="str">
        <f>IFERROR(VLOOKUP(R77,IF({1,0},$Y$12:$Y$21,$X$12:$X$21),2,0),"[]")</f>
        <v>[]</v>
      </c>
    </row>
    <row r="78" spans="2:22" ht="13.5" customHeight="1">
      <c r="M78" s="93" t="s">
        <v>220</v>
      </c>
      <c r="N78" s="94" t="str">
        <f t="shared" si="11"/>
        <v>[]</v>
      </c>
      <c r="O78" s="94" t="str">
        <f t="shared" si="12"/>
        <v>[]</v>
      </c>
      <c r="P78" s="94" t="str">
        <f t="shared" si="6"/>
        <v>[]</v>
      </c>
      <c r="Q78" s="94" t="str">
        <f t="shared" si="7"/>
        <v>[]</v>
      </c>
      <c r="R78" s="94" t="str">
        <f>IFERROR(VLOOKUP(N78,IF({1,0},$Y$12:$Y$21,$X$12:$X$21),2,0),"[]")</f>
        <v>[]</v>
      </c>
      <c r="S78" s="94" t="str">
        <f>IFERROR(VLOOKUP(O78,IF({1,0},$Y$12:$Y$21,$X$12:$X$21),2,0),"[]")</f>
        <v>[]</v>
      </c>
      <c r="T78" s="94" t="str">
        <f>IFERROR(VLOOKUP(P78,IF({1,0},$Y$12:$Y$25,$X$12:$X$25),2,0),"[]")</f>
        <v>[]</v>
      </c>
      <c r="U78" s="94" t="str">
        <f>IFERROR(VLOOKUP(Q78,IF({1,0},$Y$12:$Y$25,$X$12:$X$25),2,0),"[]")</f>
        <v>[]</v>
      </c>
      <c r="V78" s="94" t="str">
        <f>IFERROR(VLOOKUP(R78,IF({1,0},$Y$12:$Y$21,$X$12:$X$21),2,0),"[]")</f>
        <v>[]</v>
      </c>
    </row>
    <row r="79" spans="2:22" ht="13.5" customHeight="1">
      <c r="M79" s="93" t="s">
        <v>221</v>
      </c>
      <c r="N79" s="94" t="str">
        <f t="shared" si="11"/>
        <v>[]</v>
      </c>
      <c r="O79" s="94" t="str">
        <f t="shared" si="12"/>
        <v>[]</v>
      </c>
      <c r="P79" s="94" t="str">
        <f t="shared" si="6"/>
        <v>[]</v>
      </c>
      <c r="Q79" s="94" t="str">
        <f t="shared" si="7"/>
        <v>[]</v>
      </c>
      <c r="R79" s="94" t="str">
        <f>IFERROR(VLOOKUP(N79,IF({1,0},$Y$12:$Y$21,$X$12:$X$21),2,0),"[]")</f>
        <v>[]</v>
      </c>
      <c r="S79" s="94" t="str">
        <f>IFERROR(VLOOKUP(O79,IF({1,0},$Y$12:$Y$21,$X$12:$X$21),2,0),"[]")</f>
        <v>[]</v>
      </c>
      <c r="T79" s="94" t="str">
        <f>IFERROR(VLOOKUP(P79,IF({1,0},$Y$12:$Y$25,$X$12:$X$25),2,0),"[]")</f>
        <v>[]</v>
      </c>
      <c r="U79" s="94" t="str">
        <f>IFERROR(VLOOKUP(Q79,IF({1,0},$Y$12:$Y$25,$X$12:$X$25),2,0),"[]")</f>
        <v>[]</v>
      </c>
      <c r="V79" s="94" t="str">
        <f>IFERROR(VLOOKUP(R79,IF({1,0},$Y$12:$Y$21,$X$12:$X$21),2,0),"[]")</f>
        <v>[]</v>
      </c>
    </row>
    <row r="80" spans="2:22" ht="13.5" customHeight="1">
      <c r="M80" s="93" t="s">
        <v>222</v>
      </c>
      <c r="N80" s="94" t="str">
        <f t="shared" si="11"/>
        <v>[]</v>
      </c>
      <c r="O80" s="94" t="str">
        <f t="shared" si="12"/>
        <v>[]</v>
      </c>
      <c r="P80" s="94" t="str">
        <f t="shared" si="6"/>
        <v>[]</v>
      </c>
      <c r="Q80" s="94" t="str">
        <f t="shared" si="7"/>
        <v>[]</v>
      </c>
      <c r="R80" s="94" t="str">
        <f>IFERROR(VLOOKUP(N80,IF({1,0},$Y$12:$Y$21,$X$12:$X$21),2,0),"[]")</f>
        <v>[]</v>
      </c>
      <c r="S80" s="94" t="str">
        <f>IFERROR(VLOOKUP(O80,IF({1,0},$Y$12:$Y$21,$X$12:$X$21),2,0),"[]")</f>
        <v>[]</v>
      </c>
      <c r="T80" s="94" t="str">
        <f>IFERROR(VLOOKUP(P80,IF({1,0},$Y$12:$Y$25,$X$12:$X$25),2,0),"[]")</f>
        <v>[]</v>
      </c>
      <c r="U80" s="94" t="str">
        <f>IFERROR(VLOOKUP(Q80,IF({1,0},$Y$12:$Y$25,$X$12:$X$25),2,0),"[]")</f>
        <v>[]</v>
      </c>
      <c r="V80" s="94" t="str">
        <f>IFERROR(VLOOKUP(R80,IF({1,0},$Y$12:$Y$21,$X$12:$X$21),2,0),"[]")</f>
        <v>[]</v>
      </c>
    </row>
    <row r="81" spans="13:22" ht="13.5" customHeight="1">
      <c r="M81" s="93" t="s">
        <v>223</v>
      </c>
      <c r="N81" s="94" t="str">
        <f t="shared" si="11"/>
        <v>[]</v>
      </c>
      <c r="O81" s="94" t="str">
        <f t="shared" si="12"/>
        <v>[]</v>
      </c>
      <c r="P81" s="94" t="str">
        <f t="shared" si="6"/>
        <v>[]</v>
      </c>
      <c r="Q81" s="94" t="str">
        <f t="shared" si="7"/>
        <v>[]</v>
      </c>
      <c r="R81" s="94" t="str">
        <f>IFERROR(VLOOKUP(N81,IF({1,0},$Y$12:$Y$21,$X$12:$X$21),2,0),"[]")</f>
        <v>[]</v>
      </c>
      <c r="S81" s="94" t="str">
        <f>IFERROR(VLOOKUP(O81,IF({1,0},$Y$12:$Y$21,$X$12:$X$21),2,0),"[]")</f>
        <v>[]</v>
      </c>
      <c r="T81" s="94" t="str">
        <f>IFERROR(VLOOKUP(P81,IF({1,0},$Y$12:$Y$25,$X$12:$X$25),2,0),"[]")</f>
        <v>[]</v>
      </c>
      <c r="U81" s="94" t="str">
        <f>IFERROR(VLOOKUP(Q81,IF({1,0},$Y$12:$Y$25,$X$12:$X$25),2,0),"[]")</f>
        <v>[]</v>
      </c>
      <c r="V81" s="94" t="str">
        <f>IFERROR(VLOOKUP(R81,IF({1,0},$Y$12:$Y$21,$X$12:$X$21),2,0),"[]")</f>
        <v>[]</v>
      </c>
    </row>
    <row r="82" spans="13:22" ht="13.5" customHeight="1">
      <c r="M82" s="93" t="s">
        <v>224</v>
      </c>
      <c r="N82" s="94" t="str">
        <f t="shared" si="11"/>
        <v>[]</v>
      </c>
      <c r="O82" s="94" t="str">
        <f t="shared" si="12"/>
        <v>[]</v>
      </c>
      <c r="P82" s="94" t="str">
        <f t="shared" si="6"/>
        <v>[]</v>
      </c>
      <c r="Q82" s="94" t="str">
        <f t="shared" si="7"/>
        <v>[]</v>
      </c>
      <c r="R82" s="94" t="str">
        <f>IFERROR(VLOOKUP(N82,IF({1,0},$Y$12:$Y$21,$X$12:$X$21),2,0),"[]")</f>
        <v>[]</v>
      </c>
      <c r="S82" s="94" t="str">
        <f>IFERROR(VLOOKUP(O82,IF({1,0},$Y$12:$Y$21,$X$12:$X$21),2,0),"[]")</f>
        <v>[]</v>
      </c>
      <c r="T82" s="94" t="str">
        <f>IFERROR(VLOOKUP(P82,IF({1,0},$Y$12:$Y$25,$X$12:$X$25),2,0),"[]")</f>
        <v>[]</v>
      </c>
      <c r="U82" s="94" t="str">
        <f>IFERROR(VLOOKUP(Q82,IF({1,0},$Y$12:$Y$25,$X$12:$X$25),2,0),"[]")</f>
        <v>[]</v>
      </c>
      <c r="V82" s="94" t="str">
        <f>IFERROR(VLOOKUP(R82,IF({1,0},$Y$12:$Y$21,$X$12:$X$21),2,0),"[]")</f>
        <v>[]</v>
      </c>
    </row>
    <row r="83" spans="13:22" ht="13.5" customHeight="1">
      <c r="M83" s="93" t="s">
        <v>225</v>
      </c>
      <c r="N83" s="94" t="str">
        <f t="shared" si="11"/>
        <v>[]</v>
      </c>
      <c r="O83" s="94" t="str">
        <f t="shared" si="12"/>
        <v>[]</v>
      </c>
      <c r="P83" s="94" t="str">
        <f t="shared" si="6"/>
        <v>[]</v>
      </c>
      <c r="Q83" s="94" t="str">
        <f t="shared" si="7"/>
        <v>[]</v>
      </c>
      <c r="R83" s="94" t="str">
        <f>IFERROR(VLOOKUP(N83,IF({1,0},$Y$12:$Y$21,$X$12:$X$21),2,0),"[]")</f>
        <v>[]</v>
      </c>
      <c r="S83" s="94" t="str">
        <f>IFERROR(VLOOKUP(O83,IF({1,0},$Y$12:$Y$21,$X$12:$X$21),2,0),"[]")</f>
        <v>[]</v>
      </c>
      <c r="T83" s="94" t="str">
        <f>IFERROR(VLOOKUP(P83,IF({1,0},$Y$12:$Y$25,$X$12:$X$25),2,0),"[]")</f>
        <v>[]</v>
      </c>
      <c r="U83" s="94" t="str">
        <f>IFERROR(VLOOKUP(Q83,IF({1,0},$Y$12:$Y$25,$X$12:$X$25),2,0),"[]")</f>
        <v>[]</v>
      </c>
      <c r="V83" s="94" t="str">
        <f>IFERROR(VLOOKUP(R83,IF({1,0},$Y$12:$Y$21,$X$12:$X$21),2,0),"[]")</f>
        <v>[]</v>
      </c>
    </row>
    <row r="84" spans="13:22" ht="13.5" customHeight="1">
      <c r="M84" s="93" t="s">
        <v>495</v>
      </c>
      <c r="N84" s="94" t="str">
        <f t="shared" si="11"/>
        <v>[]</v>
      </c>
      <c r="O84" s="94" t="str">
        <f t="shared" si="12"/>
        <v>[]</v>
      </c>
      <c r="P84" s="94" t="str">
        <f t="shared" ref="P84:P116" si="13">IFERROR(VLOOKUP(M84,$A$2:$K$61,10,FALSE),"[]")</f>
        <v>[]</v>
      </c>
      <c r="Q84" s="94" t="str">
        <f t="shared" ref="Q84:Q116" si="14">IFERROR(VLOOKUP(M84,$A$2:$K$61,11,FALSE),"[]")</f>
        <v>[]</v>
      </c>
      <c r="R84" s="94" t="str">
        <f>IFERROR(VLOOKUP(N84,IF({1,0},$Y$12:$Y$21,$X$12:$X$21),2,0),"[]")</f>
        <v>[]</v>
      </c>
      <c r="S84" s="94" t="str">
        <f>IFERROR(VLOOKUP(O84,IF({1,0},$Y$12:$Y$21,$X$12:$X$21),2,0),"[]")</f>
        <v>[]</v>
      </c>
      <c r="T84" s="94" t="str">
        <f>IFERROR(VLOOKUP(P84,IF({1,0},$Y$12:$Y$25,$X$12:$X$25),2,0),"[]")</f>
        <v>[]</v>
      </c>
      <c r="U84" s="94" t="str">
        <f>IFERROR(VLOOKUP(Q84,IF({1,0},$Y$12:$Y$25,$X$12:$X$25),2,0),"[]")</f>
        <v>[]</v>
      </c>
      <c r="V84" s="94" t="str">
        <f>IFERROR(VLOOKUP(R84,IF({1,0},$Y$12:$Y$21,$X$12:$X$21),2,0),"[]")</f>
        <v>[]</v>
      </c>
    </row>
    <row r="85" spans="13:22" ht="13.5" customHeight="1">
      <c r="M85" s="93" t="s">
        <v>496</v>
      </c>
      <c r="N85" s="94" t="str">
        <f t="shared" si="11"/>
        <v>[]</v>
      </c>
      <c r="O85" s="94" t="str">
        <f t="shared" si="12"/>
        <v>[]</v>
      </c>
      <c r="P85" s="94" t="str">
        <f t="shared" si="13"/>
        <v>[]</v>
      </c>
      <c r="Q85" s="94" t="str">
        <f t="shared" si="14"/>
        <v>[]</v>
      </c>
      <c r="R85" s="94" t="str">
        <f>IFERROR(VLOOKUP(N85,IF({1,0},$Y$12:$Y$21,$X$12:$X$21),2,0),"[]")</f>
        <v>[]</v>
      </c>
      <c r="S85" s="94" t="str">
        <f>IFERROR(VLOOKUP(O85,IF({1,0},$Y$12:$Y$21,$X$12:$X$21),2,0),"[]")</f>
        <v>[]</v>
      </c>
      <c r="T85" s="94" t="str">
        <f>IFERROR(VLOOKUP(P85,IF({1,0},$Y$12:$Y$25,$X$12:$X$25),2,0),"[]")</f>
        <v>[]</v>
      </c>
      <c r="U85" s="94" t="str">
        <f>IFERROR(VLOOKUP(Q85,IF({1,0},$Y$12:$Y$25,$X$12:$X$25),2,0),"[]")</f>
        <v>[]</v>
      </c>
      <c r="V85" s="94" t="str">
        <f>IFERROR(VLOOKUP(R85,IF({1,0},$Y$12:$Y$21,$X$12:$X$21),2,0),"[]")</f>
        <v>[]</v>
      </c>
    </row>
    <row r="86" spans="13:22" ht="13.5" customHeight="1">
      <c r="M86" s="93" t="s">
        <v>497</v>
      </c>
      <c r="N86" s="94" t="str">
        <f t="shared" si="11"/>
        <v>[]</v>
      </c>
      <c r="O86" s="94" t="str">
        <f t="shared" si="12"/>
        <v>[]</v>
      </c>
      <c r="P86" s="94" t="str">
        <f t="shared" si="13"/>
        <v>[]</v>
      </c>
      <c r="Q86" s="94" t="str">
        <f t="shared" si="14"/>
        <v>[]</v>
      </c>
      <c r="R86" s="94" t="str">
        <f>IFERROR(VLOOKUP(N86,IF({1,0},$Y$12:$Y$21,$X$12:$X$21),2,0),"[]")</f>
        <v>[]</v>
      </c>
      <c r="S86" s="94" t="str">
        <f>IFERROR(VLOOKUP(O86,IF({1,0},$Y$12:$Y$21,$X$12:$X$21),2,0),"[]")</f>
        <v>[]</v>
      </c>
      <c r="T86" s="94" t="str">
        <f>IFERROR(VLOOKUP(P86,IF({1,0},$Y$12:$Y$25,$X$12:$X$25),2,0),"[]")</f>
        <v>[]</v>
      </c>
      <c r="U86" s="94" t="str">
        <f>IFERROR(VLOOKUP(Q86,IF({1,0},$Y$12:$Y$25,$X$12:$X$25),2,0),"[]")</f>
        <v>[]</v>
      </c>
      <c r="V86" s="94" t="str">
        <f>IFERROR(VLOOKUP(R86,IF({1,0},$Y$12:$Y$21,$X$12:$X$21),2,0),"[]")</f>
        <v>[]</v>
      </c>
    </row>
    <row r="87" spans="13:22" ht="13.5" customHeight="1">
      <c r="M87" s="93" t="s">
        <v>498</v>
      </c>
      <c r="N87" s="94" t="str">
        <f t="shared" si="11"/>
        <v>[]</v>
      </c>
      <c r="O87" s="94" t="str">
        <f t="shared" si="12"/>
        <v>[]</v>
      </c>
      <c r="P87" s="94" t="str">
        <f t="shared" si="13"/>
        <v>[]</v>
      </c>
      <c r="Q87" s="94" t="str">
        <f t="shared" si="14"/>
        <v>[]</v>
      </c>
      <c r="R87" s="94" t="str">
        <f>IFERROR(VLOOKUP(N87,IF({1,0},$Y$12:$Y$21,$X$12:$X$21),2,0),"[]")</f>
        <v>[]</v>
      </c>
      <c r="S87" s="94" t="str">
        <f>IFERROR(VLOOKUP(O87,IF({1,0},$Y$12:$Y$21,$X$12:$X$21),2,0),"[]")</f>
        <v>[]</v>
      </c>
      <c r="T87" s="94" t="str">
        <f>IFERROR(VLOOKUP(P87,IF({1,0},$Y$12:$Y$25,$X$12:$X$25),2,0),"[]")</f>
        <v>[]</v>
      </c>
      <c r="U87" s="94" t="str">
        <f>IFERROR(VLOOKUP(Q87,IF({1,0},$Y$12:$Y$25,$X$12:$X$25),2,0),"[]")</f>
        <v>[]</v>
      </c>
      <c r="V87" s="94" t="str">
        <f>IFERROR(VLOOKUP(R87,IF({1,0},$Y$12:$Y$21,$X$12:$X$21),2,0),"[]")</f>
        <v>[]</v>
      </c>
    </row>
    <row r="88" spans="13:22" ht="13.5" customHeight="1">
      <c r="M88" s="93" t="s">
        <v>230</v>
      </c>
      <c r="N88" s="94" t="str">
        <f t="shared" si="11"/>
        <v>[]</v>
      </c>
      <c r="O88" s="94" t="str">
        <f t="shared" si="12"/>
        <v>[]</v>
      </c>
      <c r="P88" s="94" t="str">
        <f t="shared" si="13"/>
        <v>[]</v>
      </c>
      <c r="Q88" s="94" t="str">
        <f t="shared" si="14"/>
        <v>[]</v>
      </c>
      <c r="R88" s="94" t="str">
        <f>IFERROR(VLOOKUP(N88,IF({1,0},$Y$12:$Y$21,$X$12:$X$21),2,0),"[]")</f>
        <v>[]</v>
      </c>
      <c r="S88" s="94" t="str">
        <f>IFERROR(VLOOKUP(O88,IF({1,0},$Y$12:$Y$21,$X$12:$X$21),2,0),"[]")</f>
        <v>[]</v>
      </c>
      <c r="T88" s="94" t="str">
        <f>IFERROR(VLOOKUP(P88,IF({1,0},$Y$12:$Y$25,$X$12:$X$25),2,0),"[]")</f>
        <v>[]</v>
      </c>
      <c r="U88" s="94" t="str">
        <f>IFERROR(VLOOKUP(Q88,IF({1,0},$Y$12:$Y$25,$X$12:$X$25),2,0),"[]")</f>
        <v>[]</v>
      </c>
      <c r="V88" s="94" t="str">
        <f>IFERROR(VLOOKUP(R88,IF({1,0},$Y$12:$Y$21,$X$12:$X$21),2,0),"[]")</f>
        <v>[]</v>
      </c>
    </row>
    <row r="89" spans="13:22" ht="13.5" customHeight="1">
      <c r="M89" s="93" t="s">
        <v>231</v>
      </c>
      <c r="N89" s="94" t="str">
        <f t="shared" si="11"/>
        <v>[]</v>
      </c>
      <c r="O89" s="94" t="str">
        <f t="shared" si="12"/>
        <v>[]</v>
      </c>
      <c r="P89" s="94" t="str">
        <f t="shared" si="13"/>
        <v>[]</v>
      </c>
      <c r="Q89" s="94" t="str">
        <f t="shared" si="14"/>
        <v>[]</v>
      </c>
      <c r="R89" s="94" t="str">
        <f>IFERROR(VLOOKUP(N89,IF({1,0},$Y$12:$Y$21,$X$12:$X$21),2,0),"[]")</f>
        <v>[]</v>
      </c>
      <c r="S89" s="94" t="str">
        <f>IFERROR(VLOOKUP(O89,IF({1,0},$Y$12:$Y$21,$X$12:$X$21),2,0),"[]")</f>
        <v>[]</v>
      </c>
      <c r="T89" s="94" t="str">
        <f>IFERROR(VLOOKUP(P89,IF({1,0},$Y$12:$Y$25,$X$12:$X$25),2,0),"[]")</f>
        <v>[]</v>
      </c>
      <c r="U89" s="94" t="str">
        <f>IFERROR(VLOOKUP(Q89,IF({1,0},$Y$12:$Y$25,$X$12:$X$25),2,0),"[]")</f>
        <v>[]</v>
      </c>
      <c r="V89" s="94" t="str">
        <f>IFERROR(VLOOKUP(R89,IF({1,0},$Y$12:$Y$21,$X$12:$X$21),2,0),"[]")</f>
        <v>[]</v>
      </c>
    </row>
    <row r="90" spans="13:22" ht="13.5" customHeight="1">
      <c r="M90" s="93" t="s">
        <v>232</v>
      </c>
      <c r="N90" s="94" t="str">
        <f t="shared" si="11"/>
        <v>[]</v>
      </c>
      <c r="O90" s="94" t="str">
        <f t="shared" si="12"/>
        <v>[]</v>
      </c>
      <c r="P90" s="94" t="str">
        <f t="shared" si="13"/>
        <v>[]</v>
      </c>
      <c r="Q90" s="94" t="str">
        <f t="shared" si="14"/>
        <v>[]</v>
      </c>
      <c r="R90" s="94" t="str">
        <f>IFERROR(VLOOKUP(N90,IF({1,0},$Y$12:$Y$21,$X$12:$X$21),2,0),"[]")</f>
        <v>[]</v>
      </c>
      <c r="S90" s="94" t="str">
        <f>IFERROR(VLOOKUP(O90,IF({1,0},$Y$12:$Y$21,$X$12:$X$21),2,0),"[]")</f>
        <v>[]</v>
      </c>
      <c r="T90" s="94" t="str">
        <f>IFERROR(VLOOKUP(P90,IF({1,0},$Y$12:$Y$25,$X$12:$X$25),2,0),"[]")</f>
        <v>[]</v>
      </c>
      <c r="U90" s="94" t="str">
        <f>IFERROR(VLOOKUP(Q90,IF({1,0},$Y$12:$Y$25,$X$12:$X$25),2,0),"[]")</f>
        <v>[]</v>
      </c>
      <c r="V90" s="94" t="str">
        <f>IFERROR(VLOOKUP(R90,IF({1,0},$Y$12:$Y$21,$X$12:$X$21),2,0),"[]")</f>
        <v>[]</v>
      </c>
    </row>
    <row r="91" spans="13:22" ht="13.5" customHeight="1">
      <c r="M91" s="93" t="s">
        <v>233</v>
      </c>
      <c r="N91" s="94" t="str">
        <f t="shared" si="11"/>
        <v>[]</v>
      </c>
      <c r="O91" s="94" t="str">
        <f t="shared" si="12"/>
        <v>[]</v>
      </c>
      <c r="P91" s="94" t="str">
        <f t="shared" si="13"/>
        <v>[]</v>
      </c>
      <c r="Q91" s="94" t="str">
        <f t="shared" si="14"/>
        <v>[]</v>
      </c>
      <c r="R91" s="94" t="str">
        <f>IFERROR(VLOOKUP(N91,IF({1,0},$Y$12:$Y$21,$X$12:$X$21),2,0),"[]")</f>
        <v>[]</v>
      </c>
      <c r="S91" s="94" t="str">
        <f>IFERROR(VLOOKUP(O91,IF({1,0},$Y$12:$Y$21,$X$12:$X$21),2,0),"[]")</f>
        <v>[]</v>
      </c>
      <c r="T91" s="94" t="str">
        <f>IFERROR(VLOOKUP(P91,IF({1,0},$Y$12:$Y$25,$X$12:$X$25),2,0),"[]")</f>
        <v>[]</v>
      </c>
      <c r="U91" s="94" t="str">
        <f>IFERROR(VLOOKUP(Q91,IF({1,0},$Y$12:$Y$25,$X$12:$X$25),2,0),"[]")</f>
        <v>[]</v>
      </c>
      <c r="V91" s="94" t="str">
        <f>IFERROR(VLOOKUP(R91,IF({1,0},$Y$12:$Y$21,$X$12:$X$21),2,0),"[]")</f>
        <v>[]</v>
      </c>
    </row>
    <row r="92" spans="13:22" ht="13.5" customHeight="1">
      <c r="M92" s="93" t="s">
        <v>234</v>
      </c>
      <c r="N92" s="94" t="str">
        <f t="shared" si="11"/>
        <v>[]</v>
      </c>
      <c r="O92" s="94" t="str">
        <f t="shared" si="12"/>
        <v>[]</v>
      </c>
      <c r="P92" s="94" t="str">
        <f t="shared" si="13"/>
        <v>[]</v>
      </c>
      <c r="Q92" s="94" t="str">
        <f t="shared" si="14"/>
        <v>[]</v>
      </c>
      <c r="R92" s="94" t="str">
        <f>IFERROR(VLOOKUP(N92,IF({1,0},$Y$12:$Y$21,$X$12:$X$21),2,0),"[]")</f>
        <v>[]</v>
      </c>
      <c r="S92" s="94" t="str">
        <f>IFERROR(VLOOKUP(O92,IF({1,0},$Y$12:$Y$21,$X$12:$X$21),2,0),"[]")</f>
        <v>[]</v>
      </c>
      <c r="T92" s="94" t="str">
        <f>IFERROR(VLOOKUP(P92,IF({1,0},$Y$12:$Y$25,$X$12:$X$25),2,0),"[]")</f>
        <v>[]</v>
      </c>
      <c r="U92" s="94" t="str">
        <f>IFERROR(VLOOKUP(Q92,IF({1,0},$Y$12:$Y$25,$X$12:$X$25),2,0),"[]")</f>
        <v>[]</v>
      </c>
      <c r="V92" s="94" t="str">
        <f>IFERROR(VLOOKUP(R92,IF({1,0},$Y$12:$Y$21,$X$12:$X$21),2,0),"[]")</f>
        <v>[]</v>
      </c>
    </row>
    <row r="93" spans="13:22" ht="13.5" customHeight="1">
      <c r="M93" s="93" t="s">
        <v>235</v>
      </c>
      <c r="N93" s="94" t="str">
        <f t="shared" si="11"/>
        <v>[]</v>
      </c>
      <c r="O93" s="94" t="str">
        <f t="shared" si="12"/>
        <v>[]</v>
      </c>
      <c r="P93" s="94" t="str">
        <f t="shared" si="13"/>
        <v>[]</v>
      </c>
      <c r="Q93" s="94" t="str">
        <f t="shared" si="14"/>
        <v>[]</v>
      </c>
      <c r="R93" s="94" t="str">
        <f>IFERROR(VLOOKUP(N93,IF({1,0},$Y$12:$Y$21,$X$12:$X$21),2,0),"[]")</f>
        <v>[]</v>
      </c>
      <c r="S93" s="94" t="str">
        <f>IFERROR(VLOOKUP(O93,IF({1,0},$Y$12:$Y$21,$X$12:$X$21),2,0),"[]")</f>
        <v>[]</v>
      </c>
      <c r="T93" s="94" t="str">
        <f>IFERROR(VLOOKUP(P93,IF({1,0},$Y$12:$Y$25,$X$12:$X$25),2,0),"[]")</f>
        <v>[]</v>
      </c>
      <c r="U93" s="94" t="str">
        <f>IFERROR(VLOOKUP(Q93,IF({1,0},$Y$12:$Y$25,$X$12:$X$25),2,0),"[]")</f>
        <v>[]</v>
      </c>
      <c r="V93" s="94" t="str">
        <f>IFERROR(VLOOKUP(R93,IF({1,0},$Y$12:$Y$21,$X$12:$X$21),2,0),"[]")</f>
        <v>[]</v>
      </c>
    </row>
    <row r="94" spans="13:22" ht="13.5" customHeight="1">
      <c r="M94" s="93" t="s">
        <v>236</v>
      </c>
      <c r="N94" s="94" t="str">
        <f t="shared" si="11"/>
        <v>[]</v>
      </c>
      <c r="O94" s="94" t="str">
        <f t="shared" si="12"/>
        <v>[]</v>
      </c>
      <c r="P94" s="94" t="str">
        <f t="shared" si="13"/>
        <v>[]</v>
      </c>
      <c r="Q94" s="94" t="str">
        <f t="shared" si="14"/>
        <v>[]</v>
      </c>
      <c r="R94" s="94" t="str">
        <f>IFERROR(VLOOKUP(N94,IF({1,0},$Y$12:$Y$21,$X$12:$X$21),2,0),"[]")</f>
        <v>[]</v>
      </c>
      <c r="S94" s="94" t="str">
        <f>IFERROR(VLOOKUP(O94,IF({1,0},$Y$12:$Y$21,$X$12:$X$21),2,0),"[]")</f>
        <v>[]</v>
      </c>
      <c r="T94" s="94" t="str">
        <f>IFERROR(VLOOKUP(P94,IF({1,0},$Y$12:$Y$25,$X$12:$X$25),2,0),"[]")</f>
        <v>[]</v>
      </c>
      <c r="U94" s="94" t="str">
        <f>IFERROR(VLOOKUP(Q94,IF({1,0},$Y$12:$Y$25,$X$12:$X$25),2,0),"[]")</f>
        <v>[]</v>
      </c>
      <c r="V94" s="94" t="str">
        <f>IFERROR(VLOOKUP(R94,IF({1,0},$Y$12:$Y$21,$X$12:$X$21),2,0),"[]")</f>
        <v>[]</v>
      </c>
    </row>
    <row r="95" spans="13:22" ht="13.5" customHeight="1">
      <c r="M95" s="93" t="s">
        <v>237</v>
      </c>
      <c r="N95" s="94" t="str">
        <f t="shared" si="11"/>
        <v>[]</v>
      </c>
      <c r="O95" s="94" t="str">
        <f t="shared" si="12"/>
        <v>[]</v>
      </c>
      <c r="P95" s="94" t="str">
        <f t="shared" si="13"/>
        <v>[]</v>
      </c>
      <c r="Q95" s="94" t="str">
        <f t="shared" si="14"/>
        <v>[]</v>
      </c>
      <c r="R95" s="94" t="str">
        <f>IFERROR(VLOOKUP(N95,IF({1,0},$Y$12:$Y$21,$X$12:$X$21),2,0),"[]")</f>
        <v>[]</v>
      </c>
      <c r="S95" s="94" t="str">
        <f>IFERROR(VLOOKUP(O95,IF({1,0},$Y$12:$Y$21,$X$12:$X$21),2,0),"[]")</f>
        <v>[]</v>
      </c>
      <c r="T95" s="94" t="str">
        <f>IFERROR(VLOOKUP(P95,IF({1,0},$Y$12:$Y$25,$X$12:$X$25),2,0),"[]")</f>
        <v>[]</v>
      </c>
      <c r="U95" s="94" t="str">
        <f>IFERROR(VLOOKUP(Q95,IF({1,0},$Y$12:$Y$25,$X$12:$X$25),2,0),"[]")</f>
        <v>[]</v>
      </c>
      <c r="V95" s="94" t="str">
        <f>IFERROR(VLOOKUP(R95,IF({1,0},$Y$12:$Y$21,$X$12:$X$21),2,0),"[]")</f>
        <v>[]</v>
      </c>
    </row>
    <row r="96" spans="13:22" ht="13.5" customHeight="1">
      <c r="M96" s="93" t="s">
        <v>238</v>
      </c>
      <c r="N96" s="94" t="str">
        <f t="shared" si="11"/>
        <v>[]</v>
      </c>
      <c r="O96" s="94" t="str">
        <f t="shared" si="12"/>
        <v>[]</v>
      </c>
      <c r="P96" s="94" t="str">
        <f t="shared" si="13"/>
        <v>[]</v>
      </c>
      <c r="Q96" s="94" t="str">
        <f t="shared" si="14"/>
        <v>[]</v>
      </c>
      <c r="R96" s="94" t="str">
        <f>IFERROR(VLOOKUP(N96,IF({1,0},$Y$12:$Y$21,$X$12:$X$21),2,0),"[]")</f>
        <v>[]</v>
      </c>
      <c r="S96" s="94" t="str">
        <f>IFERROR(VLOOKUP(O96,IF({1,0},$Y$12:$Y$21,$X$12:$X$21),2,0),"[]")</f>
        <v>[]</v>
      </c>
      <c r="T96" s="94" t="str">
        <f>IFERROR(VLOOKUP(P96,IF({1,0},$Y$12:$Y$25,$X$12:$X$25),2,0),"[]")</f>
        <v>[]</v>
      </c>
      <c r="U96" s="94" t="str">
        <f>IFERROR(VLOOKUP(Q96,IF({1,0},$Y$12:$Y$25,$X$12:$X$25),2,0),"[]")</f>
        <v>[]</v>
      </c>
      <c r="V96" s="94" t="str">
        <f>IFERROR(VLOOKUP(R96,IF({1,0},$Y$12:$Y$21,$X$12:$X$21),2,0),"[]")</f>
        <v>[]</v>
      </c>
    </row>
    <row r="97" spans="13:22" ht="13.5" customHeight="1">
      <c r="M97" s="93" t="s">
        <v>499</v>
      </c>
      <c r="N97" s="94" t="str">
        <f t="shared" si="11"/>
        <v>[]</v>
      </c>
      <c r="O97" s="94" t="str">
        <f t="shared" si="12"/>
        <v>[]</v>
      </c>
      <c r="P97" s="94" t="str">
        <f t="shared" si="13"/>
        <v>[]</v>
      </c>
      <c r="Q97" s="94" t="str">
        <f t="shared" si="14"/>
        <v>[]</v>
      </c>
      <c r="R97" s="94" t="str">
        <f>IFERROR(VLOOKUP(N97,IF({1,0},$Y$12:$Y$21,$X$12:$X$21),2,0),"[]")</f>
        <v>[]</v>
      </c>
      <c r="S97" s="94" t="str">
        <f>IFERROR(VLOOKUP(O97,IF({1,0},$Y$12:$Y$21,$X$12:$X$21),2,0),"[]")</f>
        <v>[]</v>
      </c>
      <c r="T97" s="94" t="str">
        <f>IFERROR(VLOOKUP(P97,IF({1,0},$Y$12:$Y$25,$X$12:$X$25),2,0),"[]")</f>
        <v>[]</v>
      </c>
      <c r="U97" s="94" t="str">
        <f>IFERROR(VLOOKUP(Q97,IF({1,0},$Y$12:$Y$25,$X$12:$X$25),2,0),"[]")</f>
        <v>[]</v>
      </c>
      <c r="V97" s="94" t="str">
        <f>IFERROR(VLOOKUP(R97,IF({1,0},$Y$12:$Y$21,$X$12:$X$21),2,0),"[]")</f>
        <v>[]</v>
      </c>
    </row>
    <row r="98" spans="13:22" ht="13.5" customHeight="1">
      <c r="M98" s="93" t="s">
        <v>500</v>
      </c>
      <c r="N98" s="94" t="str">
        <f t="shared" si="11"/>
        <v>[]</v>
      </c>
      <c r="O98" s="94" t="str">
        <f t="shared" si="12"/>
        <v>[]</v>
      </c>
      <c r="P98" s="94" t="str">
        <f t="shared" si="13"/>
        <v>[]</v>
      </c>
      <c r="Q98" s="94" t="str">
        <f t="shared" si="14"/>
        <v>[]</v>
      </c>
      <c r="R98" s="94" t="str">
        <f>IFERROR(VLOOKUP(N98,IF({1,0},$Y$12:$Y$21,$X$12:$X$21),2,0),"[]")</f>
        <v>[]</v>
      </c>
      <c r="S98" s="94" t="str">
        <f>IFERROR(VLOOKUP(O98,IF({1,0},$Y$12:$Y$21,$X$12:$X$21),2,0),"[]")</f>
        <v>[]</v>
      </c>
      <c r="T98" s="94" t="str">
        <f>IFERROR(VLOOKUP(P98,IF({1,0},$Y$12:$Y$25,$X$12:$X$25),2,0),"[]")</f>
        <v>[]</v>
      </c>
      <c r="U98" s="94" t="str">
        <f>IFERROR(VLOOKUP(Q98,IF({1,0},$Y$12:$Y$25,$X$12:$X$25),2,0),"[]")</f>
        <v>[]</v>
      </c>
      <c r="V98" s="94" t="str">
        <f>IFERROR(VLOOKUP(R98,IF({1,0},$Y$12:$Y$21,$X$12:$X$21),2,0),"[]")</f>
        <v>[]</v>
      </c>
    </row>
    <row r="99" spans="13:22" ht="13.5" customHeight="1">
      <c r="M99" s="93" t="s">
        <v>501</v>
      </c>
      <c r="N99" s="94" t="str">
        <f t="shared" si="11"/>
        <v>[]</v>
      </c>
      <c r="O99" s="94" t="str">
        <f t="shared" si="12"/>
        <v>[]</v>
      </c>
      <c r="P99" s="94" t="str">
        <f t="shared" si="13"/>
        <v>[]</v>
      </c>
      <c r="Q99" s="94" t="str">
        <f t="shared" si="14"/>
        <v>[]</v>
      </c>
      <c r="R99" s="94" t="str">
        <f>IFERROR(VLOOKUP(N99,IF({1,0},$Y$12:$Y$21,$X$12:$X$21),2,0),"[]")</f>
        <v>[]</v>
      </c>
      <c r="S99" s="94" t="str">
        <f>IFERROR(VLOOKUP(O99,IF({1,0},$Y$12:$Y$21,$X$12:$X$21),2,0),"[]")</f>
        <v>[]</v>
      </c>
      <c r="T99" s="94" t="str">
        <f>IFERROR(VLOOKUP(P99,IF({1,0},$Y$12:$Y$25,$X$12:$X$25),2,0),"[]")</f>
        <v>[]</v>
      </c>
      <c r="U99" s="94" t="str">
        <f>IFERROR(VLOOKUP(Q99,IF({1,0},$Y$12:$Y$25,$X$12:$X$25),2,0),"[]")</f>
        <v>[]</v>
      </c>
      <c r="V99" s="94" t="str">
        <f>IFERROR(VLOOKUP(R99,IF({1,0},$Y$12:$Y$21,$X$12:$X$21),2,0),"[]")</f>
        <v>[]</v>
      </c>
    </row>
    <row r="100" spans="13:22" ht="13.5" customHeight="1">
      <c r="M100" s="93" t="s">
        <v>502</v>
      </c>
      <c r="N100" s="94" t="str">
        <f t="shared" si="11"/>
        <v>[]</v>
      </c>
      <c r="O100" s="94" t="str">
        <f t="shared" si="12"/>
        <v>[]</v>
      </c>
      <c r="P100" s="94" t="str">
        <f t="shared" si="13"/>
        <v>[]</v>
      </c>
      <c r="Q100" s="94" t="str">
        <f t="shared" si="14"/>
        <v>[]</v>
      </c>
      <c r="R100" s="94" t="str">
        <f>IFERROR(VLOOKUP(N100,IF({1,0},$Y$12:$Y$21,$X$12:$X$21),2,0),"[]")</f>
        <v>[]</v>
      </c>
      <c r="S100" s="94" t="str">
        <f>IFERROR(VLOOKUP(O100,IF({1,0},$Y$12:$Y$21,$X$12:$X$21),2,0),"[]")</f>
        <v>[]</v>
      </c>
      <c r="T100" s="94" t="str">
        <f>IFERROR(VLOOKUP(P100,IF({1,0},$Y$12:$Y$25,$X$12:$X$25),2,0),"[]")</f>
        <v>[]</v>
      </c>
      <c r="U100" s="94" t="str">
        <f>IFERROR(VLOOKUP(Q100,IF({1,0},$Y$12:$Y$25,$X$12:$X$25),2,0),"[]")</f>
        <v>[]</v>
      </c>
      <c r="V100" s="94" t="str">
        <f>IFERROR(VLOOKUP(R100,IF({1,0},$Y$12:$Y$21,$X$12:$X$21),2,0),"[]")</f>
        <v>[]</v>
      </c>
    </row>
    <row r="101" spans="13:22" ht="13.5" customHeight="1">
      <c r="M101" s="93" t="s">
        <v>503</v>
      </c>
      <c r="N101" s="94" t="str">
        <f t="shared" si="11"/>
        <v>[]</v>
      </c>
      <c r="O101" s="94" t="str">
        <f t="shared" si="12"/>
        <v>[]</v>
      </c>
      <c r="P101" s="94" t="str">
        <f t="shared" si="13"/>
        <v>[]</v>
      </c>
      <c r="Q101" s="94" t="str">
        <f t="shared" si="14"/>
        <v>[]</v>
      </c>
      <c r="R101" s="94" t="str">
        <f>IFERROR(VLOOKUP(N101,IF({1,0},$Y$12:$Y$21,$X$12:$X$21),2,0),"[]")</f>
        <v>[]</v>
      </c>
      <c r="S101" s="94" t="str">
        <f>IFERROR(VLOOKUP(O101,IF({1,0},$Y$12:$Y$21,$X$12:$X$21),2,0),"[]")</f>
        <v>[]</v>
      </c>
      <c r="T101" s="94" t="str">
        <f>IFERROR(VLOOKUP(P101,IF({1,0},$Y$12:$Y$25,$X$12:$X$25),2,0),"[]")</f>
        <v>[]</v>
      </c>
      <c r="U101" s="94" t="str">
        <f>IFERROR(VLOOKUP(Q101,IF({1,0},$Y$12:$Y$25,$X$12:$X$25),2,0),"[]")</f>
        <v>[]</v>
      </c>
      <c r="V101" s="94" t="str">
        <f>IFERROR(VLOOKUP(R101,IF({1,0},$Y$12:$Y$21,$X$12:$X$21),2,0),"[]")</f>
        <v>[]</v>
      </c>
    </row>
    <row r="102" spans="13:22" ht="13.5" customHeight="1">
      <c r="M102" s="93" t="s">
        <v>504</v>
      </c>
      <c r="N102" s="94" t="str">
        <f t="shared" si="11"/>
        <v>[]</v>
      </c>
      <c r="O102" s="94" t="str">
        <f t="shared" si="12"/>
        <v>[]</v>
      </c>
      <c r="P102" s="94" t="str">
        <f>IFERROR(VLOOKUP(M102,$A$2:$K$61,10,FALSE),"[]")</f>
        <v>[]</v>
      </c>
      <c r="Q102" s="94" t="str">
        <f t="shared" si="14"/>
        <v>[]</v>
      </c>
      <c r="R102" s="94" t="str">
        <f>IFERROR(VLOOKUP(N102,IF({1,0},$Y$12:$Y$21,$X$12:$X$21),2,0),"[]")</f>
        <v>[]</v>
      </c>
      <c r="S102" s="94" t="str">
        <f>IFERROR(VLOOKUP(O102,IF({1,0},$Y$12:$Y$21,$X$12:$X$21),2,0),"[]")</f>
        <v>[]</v>
      </c>
      <c r="T102" s="94" t="str">
        <f>IFERROR(VLOOKUP(P102,IF({1,0},$Y$12:$Y$25,$X$12:$X$25),2,0),"[]")</f>
        <v>[]</v>
      </c>
      <c r="U102" s="94" t="str">
        <f>IFERROR(VLOOKUP(Q102,IF({1,0},$Y$12:$Y$25,$X$12:$X$25),2,0),"[]")</f>
        <v>[]</v>
      </c>
      <c r="V102" s="94" t="str">
        <f>IFERROR(VLOOKUP(R102,IF({1,0},$Y$12:$Y$21,$X$12:$X$21),2,0),"[]")</f>
        <v>[]</v>
      </c>
    </row>
    <row r="103" spans="13:22" ht="13.5" customHeight="1">
      <c r="M103" s="93" t="s">
        <v>505</v>
      </c>
      <c r="N103" s="94" t="str">
        <f t="shared" si="11"/>
        <v>[]</v>
      </c>
      <c r="O103" s="94" t="str">
        <f t="shared" si="12"/>
        <v>[]</v>
      </c>
      <c r="P103" s="94" t="str">
        <f t="shared" si="13"/>
        <v>[]</v>
      </c>
      <c r="Q103" s="94" t="str">
        <f t="shared" si="14"/>
        <v>[]</v>
      </c>
      <c r="R103" s="94" t="str">
        <f>IFERROR(VLOOKUP(N103,IF({1,0},$Y$12:$Y$21,$X$12:$X$21),2,0),"[]")</f>
        <v>[]</v>
      </c>
      <c r="S103" s="94" t="str">
        <f>IFERROR(VLOOKUP(O103,IF({1,0},$Y$12:$Y$21,$X$12:$X$21),2,0),"[]")</f>
        <v>[]</v>
      </c>
      <c r="T103" s="94" t="str">
        <f>IFERROR(VLOOKUP(P103,IF({1,0},$Y$12:$Y$25,$X$12:$X$25),2,0),"[]")</f>
        <v>[]</v>
      </c>
      <c r="U103" s="94" t="str">
        <f>IFERROR(VLOOKUP(Q103,IF({1,0},$Y$12:$Y$25,$X$12:$X$25),2,0),"[]")</f>
        <v>[]</v>
      </c>
      <c r="V103" s="94" t="str">
        <f>IFERROR(VLOOKUP(R103,IF({1,0},$Y$12:$Y$21,$X$12:$X$21),2,0),"[]")</f>
        <v>[]</v>
      </c>
    </row>
    <row r="104" spans="13:22" ht="13.5" customHeight="1">
      <c r="M104" s="93" t="s">
        <v>506</v>
      </c>
      <c r="N104" s="94" t="str">
        <f t="shared" si="11"/>
        <v>[]</v>
      </c>
      <c r="O104" s="94" t="str">
        <f t="shared" si="12"/>
        <v>[]</v>
      </c>
      <c r="P104" s="94" t="str">
        <f t="shared" si="13"/>
        <v>[]</v>
      </c>
      <c r="Q104" s="94" t="str">
        <f t="shared" si="14"/>
        <v>[]</v>
      </c>
      <c r="R104" s="94" t="str">
        <f>IFERROR(VLOOKUP(N104,IF({1,0},$Y$12:$Y$21,$X$12:$X$21),2,0),"[]")</f>
        <v>[]</v>
      </c>
      <c r="S104" s="94" t="str">
        <f>IFERROR(VLOOKUP(O104,IF({1,0},$Y$12:$Y$21,$X$12:$X$21),2,0),"[]")</f>
        <v>[]</v>
      </c>
      <c r="T104" s="94" t="str">
        <f>IFERROR(VLOOKUP(P104,IF({1,0},$Y$12:$Y$25,$X$12:$X$25),2,0),"[]")</f>
        <v>[]</v>
      </c>
      <c r="U104" s="94" t="str">
        <f>IFERROR(VLOOKUP(Q104,IF({1,0},$Y$12:$Y$25,$X$12:$X$25),2,0),"[]")</f>
        <v>[]</v>
      </c>
      <c r="V104" s="94" t="str">
        <f>IFERROR(VLOOKUP(R104,IF({1,0},$Y$12:$Y$21,$X$12:$X$21),2,0),"[]")</f>
        <v>[]</v>
      </c>
    </row>
    <row r="105" spans="13:22" ht="13.5" customHeight="1">
      <c r="M105" s="93" t="s">
        <v>507</v>
      </c>
      <c r="N105" s="94" t="str">
        <f t="shared" si="11"/>
        <v>[]</v>
      </c>
      <c r="O105" s="94" t="str">
        <f t="shared" si="12"/>
        <v>[]</v>
      </c>
      <c r="P105" s="94" t="str">
        <f t="shared" si="13"/>
        <v>[]</v>
      </c>
      <c r="Q105" s="94" t="str">
        <f t="shared" si="14"/>
        <v>[]</v>
      </c>
      <c r="R105" s="94" t="str">
        <f>IFERROR(VLOOKUP(N105,IF({1,0},$Y$12:$Y$21,$X$12:$X$21),2,0),"[]")</f>
        <v>[]</v>
      </c>
      <c r="S105" s="94" t="str">
        <f>IFERROR(VLOOKUP(O105,IF({1,0},$Y$12:$Y$21,$X$12:$X$21),2,0),"[]")</f>
        <v>[]</v>
      </c>
      <c r="T105" s="94" t="str">
        <f>IFERROR(VLOOKUP(P105,IF({1,0},$Y$12:$Y$25,$X$12:$X$25),2,0),"[]")</f>
        <v>[]</v>
      </c>
      <c r="U105" s="94" t="str">
        <f>IFERROR(VLOOKUP(Q105,IF({1,0},$Y$12:$Y$25,$X$12:$X$25),2,0),"[]")</f>
        <v>[]</v>
      </c>
      <c r="V105" s="94" t="str">
        <f>IFERROR(VLOOKUP(R105,IF({1,0},$Y$12:$Y$21,$X$12:$X$21),2,0),"[]")</f>
        <v>[]</v>
      </c>
    </row>
    <row r="106" spans="13:22" ht="13.5" customHeight="1">
      <c r="M106" s="101" t="s">
        <v>508</v>
      </c>
      <c r="N106" s="94" t="str">
        <f t="shared" si="11"/>
        <v>[]</v>
      </c>
      <c r="O106" s="94" t="str">
        <f t="shared" si="12"/>
        <v>[]</v>
      </c>
      <c r="P106" s="94" t="str">
        <f t="shared" si="13"/>
        <v>[]</v>
      </c>
      <c r="Q106" s="94" t="str">
        <f t="shared" si="14"/>
        <v>[]</v>
      </c>
      <c r="R106" s="94" t="str">
        <f>IFERROR(VLOOKUP(N106,IF({1,0},$Y$12:$Y$21,$X$12:$X$21),2,0),"[]")</f>
        <v>[]</v>
      </c>
      <c r="S106" s="94" t="str">
        <f>IFERROR(VLOOKUP(O106,IF({1,0},$Y$12:$Y$21,$X$12:$X$21),2,0),"[]")</f>
        <v>[]</v>
      </c>
      <c r="T106" s="94" t="str">
        <f>IFERROR(VLOOKUP(P106,IF({1,0},$Y$12:$Y$25,$X$12:$X$25),2,0),"[]")</f>
        <v>[]</v>
      </c>
      <c r="U106" s="94" t="str">
        <f>IFERROR(VLOOKUP(Q106,IF({1,0},$Y$12:$Y$25,$X$12:$X$25),2,0),"[]")</f>
        <v>[]</v>
      </c>
      <c r="V106" s="94" t="str">
        <f>IFERROR(VLOOKUP(R106,IF({1,0},$Y$12:$Y$21,$X$12:$X$21),2,0),"[]")</f>
        <v>[]</v>
      </c>
    </row>
    <row r="107" spans="13:22" ht="13.5" customHeight="1">
      <c r="M107" s="101" t="s">
        <v>81</v>
      </c>
      <c r="N107" s="94" t="str">
        <f t="shared" si="11"/>
        <v>[]</v>
      </c>
      <c r="O107" s="94" t="str">
        <f t="shared" si="12"/>
        <v>[]</v>
      </c>
      <c r="P107" s="94" t="str">
        <f t="shared" si="13"/>
        <v>[]</v>
      </c>
      <c r="Q107" s="94" t="str">
        <f t="shared" si="14"/>
        <v>[]</v>
      </c>
      <c r="R107" s="94" t="str">
        <f>IFERROR(VLOOKUP(N107,IF({1,0},$Y$12:$Y$21,$X$12:$X$21),2,0),"[]")</f>
        <v>[]</v>
      </c>
      <c r="S107" s="94" t="str">
        <f>IFERROR(VLOOKUP(O107,IF({1,0},$Y$12:$Y$21,$X$12:$X$21),2,0),"[]")</f>
        <v>[]</v>
      </c>
      <c r="T107" s="94" t="str">
        <f>IFERROR(VLOOKUP(P107,IF({1,0},$Y$12:$Y$25,$X$12:$X$25),2,0),"[]")</f>
        <v>[]</v>
      </c>
      <c r="U107" s="94" t="str">
        <f>IFERROR(VLOOKUP(Q107,IF({1,0},$Y$12:$Y$25,$X$12:$X$25),2,0),"[]")</f>
        <v>[]</v>
      </c>
      <c r="V107" s="94" t="str">
        <f>IFERROR(VLOOKUP(R107,IF({1,0},$Y$12:$Y$21,$X$12:$X$21),2,0),"[]")</f>
        <v>[]</v>
      </c>
    </row>
    <row r="108" spans="13:22" ht="13.5" customHeight="1">
      <c r="M108" s="101" t="s">
        <v>509</v>
      </c>
      <c r="N108" s="94" t="str">
        <f t="shared" si="11"/>
        <v>[]</v>
      </c>
      <c r="O108" s="94" t="str">
        <f t="shared" si="12"/>
        <v>[]</v>
      </c>
      <c r="P108" s="94" t="str">
        <f t="shared" si="13"/>
        <v>[]</v>
      </c>
      <c r="Q108" s="94" t="str">
        <f t="shared" si="14"/>
        <v>[]</v>
      </c>
      <c r="R108" s="94" t="str">
        <f>IFERROR(VLOOKUP(N108,IF({1,0},$Y$12:$Y$21,$X$12:$X$21),2,0),"[]")</f>
        <v>[]</v>
      </c>
      <c r="S108" s="94" t="str">
        <f>IFERROR(VLOOKUP(O108,IF({1,0},$Y$12:$Y$21,$X$12:$X$21),2,0),"[]")</f>
        <v>[]</v>
      </c>
      <c r="T108" s="94" t="str">
        <f>IFERROR(VLOOKUP(P108,IF({1,0},$Y$12:$Y$25,$X$12:$X$25),2,0),"[]")</f>
        <v>[]</v>
      </c>
      <c r="U108" s="94" t="str">
        <f>IFERROR(VLOOKUP(Q108,IF({1,0},$Y$12:$Y$25,$X$12:$X$25),2,0),"[]")</f>
        <v>[]</v>
      </c>
      <c r="V108" s="94" t="str">
        <f>IFERROR(VLOOKUP(R108,IF({1,0},$Y$12:$Y$21,$X$12:$X$21),2,0),"[]")</f>
        <v>[]</v>
      </c>
    </row>
    <row r="109" spans="13:22" ht="13.5" customHeight="1">
      <c r="M109" s="96" t="s">
        <v>510</v>
      </c>
      <c r="N109" s="94" t="str">
        <f t="shared" si="11"/>
        <v>[]</v>
      </c>
      <c r="O109" s="94" t="str">
        <f t="shared" si="12"/>
        <v>[]</v>
      </c>
      <c r="P109" s="94" t="str">
        <f>IFERROR(VLOOKUP(M109,$A$2:$K$61,10,FALSE),"[]")</f>
        <v>[]</v>
      </c>
      <c r="Q109" s="94" t="str">
        <f t="shared" si="14"/>
        <v>[]</v>
      </c>
      <c r="R109" s="94" t="str">
        <f>IFERROR(VLOOKUP(N109,IF({1,0},$Y$12:$Y$21,$X$12:$X$21),2,0),"[]")</f>
        <v>[]</v>
      </c>
      <c r="S109" s="94" t="str">
        <f>IFERROR(VLOOKUP(O109,IF({1,0},$Y$12:$Y$21,$X$12:$X$21),2,0),"[]")</f>
        <v>[]</v>
      </c>
      <c r="T109" s="94" t="str">
        <f>IFERROR(VLOOKUP(P109,IF({1,0},$Y$12:$Y$25,$X$12:$X$25),2,0),"[]")</f>
        <v>[]</v>
      </c>
      <c r="U109" s="94" t="str">
        <f>IFERROR(VLOOKUP(Q109,IF({1,0},$Y$12:$Y$25,$X$12:$X$25),2,0),"[]")</f>
        <v>[]</v>
      </c>
      <c r="V109" s="94" t="str">
        <f>IFERROR(VLOOKUP(R109,IF({1,0},$Y$12:$Y$21,$X$12:$X$21),2,0),"[]")</f>
        <v>[]</v>
      </c>
    </row>
    <row r="110" spans="13:22" ht="13.5" customHeight="1">
      <c r="M110" s="101" t="s">
        <v>86</v>
      </c>
      <c r="N110" s="94" t="str">
        <f t="shared" si="11"/>
        <v>幻光铃</v>
      </c>
      <c r="O110" s="94" t="str">
        <f t="shared" si="12"/>
        <v>混元镜</v>
      </c>
      <c r="P110" s="94" t="str">
        <f t="shared" si="13"/>
        <v>天翎幻音铃</v>
      </c>
      <c r="Q110" s="94" t="str">
        <f t="shared" si="14"/>
        <v>羲皇八门镜</v>
      </c>
      <c r="R110" s="94">
        <f>IFERROR(VLOOKUP(N110,IF({1,0},$Y$12:$Y$21,$X$12:$X$21),2,0),"[]")</f>
        <v>12018</v>
      </c>
      <c r="S110" s="94">
        <f>IFERROR(VLOOKUP(O110,IF({1,0},$Y$12:$Y$21,$X$12:$X$21),2,0),"[]")</f>
        <v>12020</v>
      </c>
      <c r="T110" s="94">
        <f>IFERROR(VLOOKUP(P110,IF({1,0},$Y$12:$Y$25,$X$12:$X$25),2,0),"[]")</f>
        <v>12022</v>
      </c>
      <c r="U110" s="94">
        <f>IFERROR(VLOOKUP(Q110,IF({1,0},$Y$12:$Y$25,$X$12:$X$25),2,0),"[]")</f>
        <v>12024</v>
      </c>
      <c r="V110" s="94" t="str">
        <f t="shared" ref="V110" si="15">R110&amp;","&amp;S110&amp;","&amp;T110&amp;","&amp;U110</f>
        <v>12018,12020,12022,12024</v>
      </c>
    </row>
    <row r="111" spans="13:22" ht="13.5" customHeight="1">
      <c r="M111" s="101" t="s">
        <v>511</v>
      </c>
      <c r="N111" s="94" t="str">
        <f t="shared" si="11"/>
        <v>[]</v>
      </c>
      <c r="O111" s="94" t="str">
        <f t="shared" si="12"/>
        <v>[]</v>
      </c>
      <c r="P111" s="94" t="str">
        <f t="shared" si="13"/>
        <v>[]</v>
      </c>
      <c r="Q111" s="94" t="str">
        <f t="shared" si="14"/>
        <v>[]</v>
      </c>
      <c r="R111" s="94" t="str">
        <f>IFERROR(VLOOKUP(N111,IF({1,0},$Y$12:$Y$21,$X$12:$X$21),2,0),"[]")</f>
        <v>[]</v>
      </c>
      <c r="S111" s="94" t="str">
        <f>IFERROR(VLOOKUP(O111,IF({1,0},$Y$12:$Y$21,$X$12:$X$21),2,0),"[]")</f>
        <v>[]</v>
      </c>
      <c r="T111" s="94" t="str">
        <f>IFERROR(VLOOKUP(P111,IF({1,0},$Y$12:$Y$25,$X$12:$X$25),2,0),"[]")</f>
        <v>[]</v>
      </c>
      <c r="U111" s="94" t="str">
        <f>IFERROR(VLOOKUP(Q111,IF({1,0},$Y$12:$Y$25,$X$12:$X$25),2,0),"[]")</f>
        <v>[]</v>
      </c>
      <c r="V111" s="94" t="str">
        <f>IFERROR(VLOOKUP(R111,IF({1,0},$Y$12:$Y$21,$X$12:$X$21),2,0),"[]")</f>
        <v>[]</v>
      </c>
    </row>
    <row r="112" spans="13:22" ht="13.5" customHeight="1">
      <c r="M112" s="93" t="s">
        <v>171</v>
      </c>
      <c r="N112" s="94" t="str">
        <f t="shared" si="11"/>
        <v>樱月铃</v>
      </c>
      <c r="O112" s="94" t="str">
        <f t="shared" si="12"/>
        <v>八卦镜</v>
      </c>
      <c r="P112" s="94" t="s">
        <v>732</v>
      </c>
      <c r="Q112" s="94" t="s">
        <v>732</v>
      </c>
      <c r="R112" s="94">
        <f>IFERROR(VLOOKUP(N112,IF({1,0},$Y$12:$Y$21,$X$12:$X$21),2,0),"[]")</f>
        <v>12013</v>
      </c>
      <c r="S112" s="94">
        <f>IFERROR(VLOOKUP(O112,IF({1,0},$Y$12:$Y$21,$X$12:$X$21),2,0),"[]")</f>
        <v>12015</v>
      </c>
      <c r="T112" s="94" t="str">
        <f>IFERROR(VLOOKUP(P112,IF({1,0},$Y$12:$Y$25,$X$12:$X$25),2,0),"[]")</f>
        <v>[]</v>
      </c>
      <c r="U112" s="94" t="str">
        <f>IFERROR(VLOOKUP(Q112,IF({1,0},$Y$12:$Y$25,$X$12:$X$25),2,0),"[]")</f>
        <v>[]</v>
      </c>
      <c r="V112" s="94" t="str">
        <f t="shared" ref="V112" si="16">R112&amp;","&amp;S112</f>
        <v>12013,12015</v>
      </c>
    </row>
    <row r="113" spans="13:22" ht="13.5" customHeight="1">
      <c r="M113" s="101" t="s">
        <v>512</v>
      </c>
      <c r="N113" s="94" t="str">
        <f t="shared" si="11"/>
        <v>[]</v>
      </c>
      <c r="O113" s="94" t="str">
        <f t="shared" si="12"/>
        <v>[]</v>
      </c>
      <c r="P113" s="94" t="str">
        <f t="shared" si="13"/>
        <v>[]</v>
      </c>
      <c r="Q113" s="94" t="str">
        <f t="shared" si="14"/>
        <v>[]</v>
      </c>
      <c r="R113" s="94" t="str">
        <f>IFERROR(VLOOKUP(N113,IF({1,0},$Y$12:$Y$21,$X$12:$X$21),2,0),"[]")</f>
        <v>[]</v>
      </c>
      <c r="S113" s="94" t="str">
        <f>IFERROR(VLOOKUP(O113,IF({1,0},$Y$12:$Y$21,$X$12:$X$21),2,0),"[]")</f>
        <v>[]</v>
      </c>
      <c r="T113" s="94" t="str">
        <f>IFERROR(VLOOKUP(P113,IF({1,0},$Y$12:$Y$25,$X$12:$X$25),2,0),"[]")</f>
        <v>[]</v>
      </c>
      <c r="U113" s="94" t="str">
        <f>IFERROR(VLOOKUP(Q113,IF({1,0},$Y$12:$Y$25,$X$12:$X$25),2,0),"[]")</f>
        <v>[]</v>
      </c>
      <c r="V113" s="94" t="str">
        <f>IFERROR(VLOOKUP(R113,IF({1,0},$Y$12:$Y$21,$X$12:$X$21),2,0),"[]")</f>
        <v>[]</v>
      </c>
    </row>
    <row r="114" spans="13:22" ht="13.5" customHeight="1">
      <c r="M114" s="102" t="s">
        <v>43</v>
      </c>
      <c r="N114" s="94" t="str">
        <f t="shared" si="11"/>
        <v>紫金铃</v>
      </c>
      <c r="O114" s="94" t="str">
        <f t="shared" si="12"/>
        <v>阴阳镜</v>
      </c>
      <c r="P114" s="94" t="str">
        <f t="shared" si="13"/>
        <v>七星宣花铃</v>
      </c>
      <c r="Q114" s="94" t="str">
        <f t="shared" si="14"/>
        <v>太极清源镜</v>
      </c>
      <c r="R114" s="94">
        <f>IFERROR(VLOOKUP(N114,IF({1,0},$Y$12:$Y$21,$X$12:$X$21),2,0),"[]")</f>
        <v>12017</v>
      </c>
      <c r="S114" s="94">
        <f>IFERROR(VLOOKUP(O114,IF({1,0},$Y$12:$Y$21,$X$12:$X$21),2,0),"[]")</f>
        <v>12019</v>
      </c>
      <c r="T114" s="94">
        <f>IFERROR(VLOOKUP(P114,IF({1,0},$Y$12:$Y$25,$X$12:$X$25),2,0),"[]")</f>
        <v>12021</v>
      </c>
      <c r="U114" s="94">
        <f>IFERROR(VLOOKUP(Q114,IF({1,0},$Y$12:$Y$25,$X$12:$X$25),2,0),"[]")</f>
        <v>12023</v>
      </c>
      <c r="V114" s="94" t="str">
        <f t="shared" ref="V114:V115" si="17">R114&amp;","&amp;S114&amp;","&amp;T114&amp;","&amp;U114</f>
        <v>12017,12019,12021,12023</v>
      </c>
    </row>
    <row r="115" spans="13:22" ht="13.5" customHeight="1">
      <c r="M115" s="102" t="s">
        <v>168</v>
      </c>
      <c r="N115" s="94" t="str">
        <f t="shared" si="11"/>
        <v>紫金铃</v>
      </c>
      <c r="O115" s="94" t="str">
        <f t="shared" si="12"/>
        <v>阴阳镜</v>
      </c>
      <c r="P115" s="94" t="str">
        <f t="shared" si="13"/>
        <v>七星宣花铃</v>
      </c>
      <c r="Q115" s="94" t="str">
        <f t="shared" si="14"/>
        <v>太极清源镜</v>
      </c>
      <c r="R115" s="94">
        <f>IFERROR(VLOOKUP(N115,IF({1,0},$Y$12:$Y$21,$X$12:$X$21),2,0),"[]")</f>
        <v>12017</v>
      </c>
      <c r="S115" s="94">
        <f>IFERROR(VLOOKUP(O115,IF({1,0},$Y$12:$Y$21,$X$12:$X$21),2,0),"[]")</f>
        <v>12019</v>
      </c>
      <c r="T115" s="94">
        <f>IFERROR(VLOOKUP(P115,IF({1,0},$Y$12:$Y$25,$X$12:$X$25),2,0),"[]")</f>
        <v>12021</v>
      </c>
      <c r="U115" s="94">
        <f>IFERROR(VLOOKUP(Q115,IF({1,0},$Y$12:$Y$25,$X$12:$X$25),2,0),"[]")</f>
        <v>12023</v>
      </c>
      <c r="V115" s="94" t="str">
        <f t="shared" si="17"/>
        <v>12017,12019,12021,12023</v>
      </c>
    </row>
    <row r="116" spans="13:22" ht="13.5" customHeight="1">
      <c r="M116" s="103" t="s">
        <v>0</v>
      </c>
      <c r="N116" s="94" t="str">
        <f t="shared" si="11"/>
        <v>紫金铃</v>
      </c>
      <c r="O116" s="94" t="str">
        <f t="shared" si="12"/>
        <v>阴阳镜</v>
      </c>
      <c r="P116" s="94" t="str">
        <f t="shared" si="13"/>
        <v>七星宣花铃</v>
      </c>
      <c r="Q116" s="94" t="str">
        <f t="shared" si="14"/>
        <v>太极清源镜</v>
      </c>
      <c r="R116" s="94">
        <f>IFERROR(VLOOKUP(N116,IF({1,0},$Y$12:$Y$21,$X$12:$X$21),2,0),"[]")</f>
        <v>12017</v>
      </c>
      <c r="S116" s="94">
        <f>IFERROR(VLOOKUP(O116,IF({1,0},$Y$12:$Y$21,$X$12:$X$21),2,0),"[]")</f>
        <v>12019</v>
      </c>
      <c r="T116" s="94">
        <f>IFERROR(VLOOKUP(P116,IF({1,0},$Y$12:$Y$25,$X$12:$X$25),2,0),"[]")</f>
        <v>12021</v>
      </c>
      <c r="U116" s="94">
        <f>IFERROR(VLOOKUP(Q116,IF({1,0},$Y$12:$Y$25,$X$12:$X$25),2,0),"[]")</f>
        <v>12023</v>
      </c>
      <c r="V116" s="94" t="str">
        <f>R116&amp;","&amp;S116&amp;","&amp;T116&amp;","&amp;U116</f>
        <v>12017,12019,12021,12023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8"/>
  <sheetViews>
    <sheetView tabSelected="1" zoomScale="85" zoomScaleNormal="85" workbookViewId="0">
      <selection activeCell="H26" sqref="H26"/>
    </sheetView>
  </sheetViews>
  <sheetFormatPr defaultRowHeight="13.5"/>
  <cols>
    <col min="1" max="1" width="10.375" customWidth="1"/>
    <col min="5" max="5" width="9.5" customWidth="1"/>
    <col min="6" max="6" width="11.5" customWidth="1"/>
    <col min="7" max="7" width="21.5" customWidth="1"/>
    <col min="8" max="8" width="66.625" customWidth="1"/>
    <col min="10" max="10" width="8.5" bestFit="1" customWidth="1"/>
    <col min="11" max="13" width="5.5" bestFit="1" customWidth="1"/>
    <col min="14" max="15" width="23.875" bestFit="1" customWidth="1"/>
    <col min="16" max="16" width="21.625" bestFit="1" customWidth="1"/>
    <col min="17" max="17" width="20.5" bestFit="1" customWidth="1"/>
    <col min="19" max="19" width="15.375" bestFit="1" customWidth="1"/>
    <col min="31" max="31" width="15.375" style="66" bestFit="1" customWidth="1"/>
  </cols>
  <sheetData>
    <row r="1" spans="1:38" ht="13.5" customHeight="1">
      <c r="A1" s="65" t="s">
        <v>393</v>
      </c>
      <c r="B1" s="49" t="s">
        <v>174</v>
      </c>
      <c r="C1" s="123"/>
      <c r="D1" s="66"/>
      <c r="E1" s="65" t="s">
        <v>260</v>
      </c>
      <c r="F1" s="65" t="s">
        <v>261</v>
      </c>
      <c r="G1" s="65" t="s">
        <v>258</v>
      </c>
      <c r="H1" s="65" t="s">
        <v>368</v>
      </c>
      <c r="J1" s="70" t="s">
        <v>259</v>
      </c>
      <c r="K1" s="66"/>
      <c r="L1" s="66"/>
      <c r="M1" s="66"/>
      <c r="N1" s="70" t="s">
        <v>367</v>
      </c>
      <c r="O1" s="66"/>
      <c r="P1" s="66"/>
      <c r="Q1" s="66"/>
      <c r="U1" s="31" t="s">
        <v>145</v>
      </c>
      <c r="V1" s="31" t="s">
        <v>854</v>
      </c>
      <c r="W1" s="31" t="s">
        <v>855</v>
      </c>
      <c r="X1" s="31" t="s">
        <v>856</v>
      </c>
      <c r="Y1" s="31" t="s">
        <v>857</v>
      </c>
      <c r="AA1" s="65" t="s">
        <v>393</v>
      </c>
      <c r="AB1" s="66"/>
      <c r="AC1" s="66"/>
      <c r="AD1" s="66"/>
      <c r="AG1" t="s">
        <v>850</v>
      </c>
      <c r="AH1" t="s">
        <v>852</v>
      </c>
      <c r="AI1" t="s">
        <v>851</v>
      </c>
    </row>
    <row r="2" spans="1:38" ht="13.5" customHeight="1">
      <c r="A2" s="1" t="s">
        <v>0</v>
      </c>
      <c r="B2" s="1" t="s">
        <v>46</v>
      </c>
      <c r="C2" s="1" t="s">
        <v>41</v>
      </c>
      <c r="D2" s="1" t="s">
        <v>48</v>
      </c>
      <c r="E2" s="72">
        <v>11011</v>
      </c>
      <c r="F2" s="71" t="s">
        <v>798</v>
      </c>
      <c r="G2" t="str">
        <f>J2&amp;","&amp;K2&amp;IF(L2="","",","&amp;L2)&amp;IF(M2="","",","&amp;M2)</f>
        <v>1119,1124,1113,1116</v>
      </c>
      <c r="H2" t="str">
        <f>N2&amp;","&amp;O2&amp;IF(P2="","",","&amp;P2)&amp;IF(Q2="","",","&amp;Q2)</f>
        <v>head_sunwukong,head_shaheshang,head_hulidaxian,head_baigufuren</v>
      </c>
      <c r="J2">
        <f>IFERROR(VLOOKUP(A2,Sheet2!$A$1:$B$114,2,FALSE),"")</f>
        <v>1119</v>
      </c>
      <c r="K2">
        <f>IFERROR(VLOOKUP(B2,Sheet2!$A$1:$B$114,2,FALSE),"")</f>
        <v>1124</v>
      </c>
      <c r="L2">
        <f>IFERROR(VLOOKUP(C2,Sheet2!$A$1:$B$114,2,FALSE),"")</f>
        <v>1113</v>
      </c>
      <c r="M2">
        <f>IFERROR(VLOOKUP(D2,Sheet2!$A$1:$B$114,2,FALSE),"")</f>
        <v>1116</v>
      </c>
      <c r="N2" t="str">
        <f>IFERROR(VLOOKUP(A2,Sheet2!$A$1:$C$114,3,FALSE),"")</f>
        <v>head_sunwukong</v>
      </c>
      <c r="O2" t="str">
        <f>IFERROR(VLOOKUP(B2,Sheet2!$A$1:$C$114,3,FALSE),"")</f>
        <v>head_shaheshang</v>
      </c>
      <c r="P2" t="str">
        <f>IFERROR(VLOOKUP(C2,Sheet2!$A$1:$C$114,3,FALSE),"")</f>
        <v>head_hulidaxian</v>
      </c>
      <c r="Q2" t="str">
        <f>IFERROR(VLOOKUP(D2,Sheet2!$A$1:$C$114,3,FALSE),"")</f>
        <v>head_baigufuren</v>
      </c>
      <c r="S2" t="str">
        <f>VLOOKUP($E2,[1]Sheet1!$A:$J,10,0)</f>
        <v>生命，攻击+30%</v>
      </c>
      <c r="U2" s="117" t="s">
        <v>1</v>
      </c>
      <c r="V2" s="117">
        <f>SUMPRODUCT(($AA$2:$AA$45=$U2)*(AG$2:AG$45))+SUMPRODUCT(($AB$2:$AB$45=$U2)*(AG$2:AG$45))+SUMPRODUCT(($AC$2:$AC$45=$U2)*(AG$2:AG$45))+SUMPRODUCT(($AD$2:$AD$45=$U2)*(AG$2:AG$45))</f>
        <v>0.70000000000000007</v>
      </c>
      <c r="W2" s="117">
        <f t="shared" ref="W2:X2" si="0">SUMPRODUCT(($AA$2:$AA$45=$U2)*(AH$2:AH$45))+SUMPRODUCT(($AB$2:$AB$45=$U2)*(AH$2:AH$45))+SUMPRODUCT(($AC$2:$AC$45=$U2)*(AH$2:AH$45))+SUMPRODUCT(($AD$2:$AD$45=$U2)*(AH$2:AH$45))</f>
        <v>0.70000000000000007</v>
      </c>
      <c r="X2" s="117">
        <f t="shared" si="0"/>
        <v>0.36</v>
      </c>
      <c r="Y2" s="131">
        <f t="shared" ref="Y2:Y15" si="1">SUM(V2:X2)</f>
        <v>1.7600000000000002</v>
      </c>
      <c r="AA2" s="1" t="s">
        <v>96</v>
      </c>
      <c r="AB2" s="1" t="s">
        <v>864</v>
      </c>
      <c r="AC2" s="1" t="s">
        <v>788</v>
      </c>
      <c r="AD2" s="1" t="s">
        <v>166</v>
      </c>
      <c r="AE2" s="130" t="s">
        <v>872</v>
      </c>
      <c r="AG2" t="str">
        <f t="shared" ref="AG2:AI21" si="2">IF(ISERROR(FIND(AG$1,$AE2)),0,RIGHT($AE2,3))</f>
        <v>30%</v>
      </c>
      <c r="AH2" t="str">
        <f t="shared" si="2"/>
        <v>30%</v>
      </c>
      <c r="AI2">
        <f t="shared" si="2"/>
        <v>0</v>
      </c>
      <c r="AL2" t="s">
        <v>844</v>
      </c>
    </row>
    <row r="3" spans="1:38" ht="13.5" customHeight="1">
      <c r="A3" s="1" t="s">
        <v>3</v>
      </c>
      <c r="B3" s="1" t="s">
        <v>168</v>
      </c>
      <c r="C3" s="1" t="s">
        <v>2</v>
      </c>
      <c r="D3" s="1" t="s">
        <v>45</v>
      </c>
      <c r="E3" s="72">
        <v>11012</v>
      </c>
      <c r="F3" s="71" t="s">
        <v>800</v>
      </c>
      <c r="G3" t="str">
        <f t="shared" ref="G3:G44" si="3">J3&amp;","&amp;K3&amp;IF(L3="","",","&amp;L3)&amp;IF(M3="","",","&amp;M3)</f>
        <v>1112,1111,1120,1115</v>
      </c>
      <c r="H3" t="str">
        <f t="shared" ref="H3:H44" si="4">N3&amp;","&amp;O3&amp;IF(P3="","",","&amp;P3)&amp;IF(Q3="","",","&amp;Q3)</f>
        <v>head_niumowang,head_tieshangongzhu,head_zhubajie,head_yanglidaxian</v>
      </c>
      <c r="J3">
        <f>IFERROR(VLOOKUP(A3,Sheet2!$A$1:$B$114,2,FALSE),"")</f>
        <v>1112</v>
      </c>
      <c r="K3">
        <f>IFERROR(VLOOKUP(B3,Sheet2!$A$1:$B$114,2,FALSE),"")</f>
        <v>1111</v>
      </c>
      <c r="L3">
        <f>IFERROR(VLOOKUP(C3,Sheet2!$A$1:$B$114,2,FALSE),"")</f>
        <v>1120</v>
      </c>
      <c r="M3">
        <f>IFERROR(VLOOKUP(D3,Sheet2!$A$1:$B$114,2,FALSE),"")</f>
        <v>1115</v>
      </c>
      <c r="N3" t="str">
        <f>IFERROR(VLOOKUP(A3,Sheet2!$A$1:$C$114,3,FALSE),"")</f>
        <v>head_niumowang</v>
      </c>
      <c r="O3" t="str">
        <f>IFERROR(VLOOKUP(B3,Sheet2!$A$1:$C$114,3,FALSE),"")</f>
        <v>head_tieshangongzhu</v>
      </c>
      <c r="P3" t="str">
        <f>IFERROR(VLOOKUP(C3,Sheet2!$A$1:$C$114,3,FALSE),"")</f>
        <v>head_zhubajie</v>
      </c>
      <c r="Q3" t="str">
        <f>IFERROR(VLOOKUP(D3,Sheet2!$A$1:$C$114,3,FALSE),"")</f>
        <v>head_yanglidaxian</v>
      </c>
      <c r="S3" t="str">
        <f>VLOOKUP($E3,[1]Sheet1!$A:$J,10,0)</f>
        <v>生命，攻击+30%</v>
      </c>
      <c r="U3" s="117" t="s">
        <v>95</v>
      </c>
      <c r="V3" s="117">
        <f t="shared" ref="V3:V21" si="5">SUMPRODUCT(($AA$2:$AA$45=$U3)*(AG$2:AG$45))+SUMPRODUCT(($AB$2:$AB$45=$U3)*(AG$2:AG$45))+SUMPRODUCT(($AC$2:$AC$45=$U3)*(AG$2:AG$45))+SUMPRODUCT(($AD$2:$AD$45=$U3)*(AG$2:AG$45))</f>
        <v>0.70000000000000007</v>
      </c>
      <c r="W3" s="117">
        <f t="shared" ref="W3:W21" si="6">SUMPRODUCT(($AA$2:$AA$45=$U3)*(AH$2:AH$45))+SUMPRODUCT(($AB$2:$AB$45=$U3)*(AH$2:AH$45))+SUMPRODUCT(($AC$2:$AC$45=$U3)*(AH$2:AH$45))+SUMPRODUCT(($AD$2:$AD$45=$U3)*(AH$2:AH$45))</f>
        <v>0.70000000000000007</v>
      </c>
      <c r="X3" s="117">
        <f t="shared" ref="X3:X21" si="7">SUMPRODUCT(($AA$2:$AA$45=$U3)*(AI$2:AI$45))+SUMPRODUCT(($AB$2:$AB$45=$U3)*(AI$2:AI$45))+SUMPRODUCT(($AC$2:$AC$45=$U3)*(AI$2:AI$45))+SUMPRODUCT(($AD$2:$AD$45=$U3)*(AI$2:AI$45))</f>
        <v>0.36</v>
      </c>
      <c r="Y3" s="131">
        <f t="shared" si="1"/>
        <v>1.7600000000000002</v>
      </c>
      <c r="AA3" s="1" t="s">
        <v>4</v>
      </c>
      <c r="AB3" s="1" t="s">
        <v>789</v>
      </c>
      <c r="AC3" s="1" t="s">
        <v>790</v>
      </c>
      <c r="AD3" s="1" t="s">
        <v>153</v>
      </c>
      <c r="AE3" s="130" t="s">
        <v>872</v>
      </c>
      <c r="AG3" t="str">
        <f t="shared" si="2"/>
        <v>30%</v>
      </c>
      <c r="AH3" t="str">
        <f t="shared" si="2"/>
        <v>30%</v>
      </c>
      <c r="AI3">
        <f t="shared" si="2"/>
        <v>0</v>
      </c>
      <c r="AL3" t="s">
        <v>844</v>
      </c>
    </row>
    <row r="4" spans="1:38" ht="13.5" customHeight="1">
      <c r="A4" s="1" t="s">
        <v>0</v>
      </c>
      <c r="B4" s="1" t="s">
        <v>46</v>
      </c>
      <c r="C4" s="1" t="s">
        <v>2</v>
      </c>
      <c r="D4" s="1"/>
      <c r="E4" s="72">
        <v>11013</v>
      </c>
      <c r="F4" s="71" t="s">
        <v>802</v>
      </c>
      <c r="G4" t="str">
        <f t="shared" si="3"/>
        <v>1119,1124,1120</v>
      </c>
      <c r="H4" t="str">
        <f t="shared" si="4"/>
        <v>head_sunwukong,head_shaheshang,head_zhubajie</v>
      </c>
      <c r="J4">
        <f>IFERROR(VLOOKUP(A4,Sheet2!$A$1:$B$114,2,FALSE),"")</f>
        <v>1119</v>
      </c>
      <c r="K4">
        <f>IFERROR(VLOOKUP(B4,Sheet2!$A$1:$B$114,2,FALSE),"")</f>
        <v>1124</v>
      </c>
      <c r="L4">
        <f>IFERROR(VLOOKUP(C4,Sheet2!$A$1:$B$114,2,FALSE),"")</f>
        <v>1120</v>
      </c>
      <c r="M4" t="str">
        <f>IFERROR(VLOOKUP(D4,Sheet2!$A$1:$B$114,2,FALSE),"")</f>
        <v/>
      </c>
      <c r="N4" t="str">
        <f>IFERROR(VLOOKUP(A4,Sheet2!$A$1:$C$114,3,FALSE),"")</f>
        <v>head_sunwukong</v>
      </c>
      <c r="O4" t="str">
        <f>IFERROR(VLOOKUP(B4,Sheet2!$A$1:$C$114,3,FALSE),"")</f>
        <v>head_shaheshang</v>
      </c>
      <c r="P4" t="str">
        <f>IFERROR(VLOOKUP(C4,Sheet2!$A$1:$C$114,3,FALSE),"")</f>
        <v>head_zhubajie</v>
      </c>
      <c r="Q4" t="str">
        <f>IFERROR(VLOOKUP(D4,Sheet2!$A$1:$C$114,3,FALSE),"")</f>
        <v/>
      </c>
      <c r="S4" t="str">
        <f>VLOOKUP($E4,[1]Sheet1!$A:$J,10,0)</f>
        <v>生命，攻击+24%</v>
      </c>
      <c r="U4" s="52" t="s">
        <v>4</v>
      </c>
      <c r="V4" s="52">
        <f t="shared" si="5"/>
        <v>0.70000000000000007</v>
      </c>
      <c r="W4" s="52">
        <f t="shared" si="6"/>
        <v>0.70000000000000007</v>
      </c>
      <c r="X4" s="52">
        <f t="shared" si="7"/>
        <v>0.36</v>
      </c>
      <c r="Y4" s="110">
        <f t="shared" si="1"/>
        <v>1.7600000000000002</v>
      </c>
      <c r="AA4" s="1" t="s">
        <v>96</v>
      </c>
      <c r="AB4" s="1" t="s">
        <v>95</v>
      </c>
      <c r="AC4" s="1" t="s">
        <v>790</v>
      </c>
      <c r="AD4" s="1"/>
      <c r="AE4" s="130" t="s">
        <v>870</v>
      </c>
      <c r="AG4" t="str">
        <f t="shared" si="2"/>
        <v>24%</v>
      </c>
      <c r="AH4" t="str">
        <f t="shared" si="2"/>
        <v>24%</v>
      </c>
      <c r="AI4">
        <f t="shared" si="2"/>
        <v>0</v>
      </c>
      <c r="AL4" t="s">
        <v>839</v>
      </c>
    </row>
    <row r="5" spans="1:38" ht="13.5" customHeight="1">
      <c r="A5" s="1" t="s">
        <v>3</v>
      </c>
      <c r="B5" s="1" t="s">
        <v>168</v>
      </c>
      <c r="C5" s="1" t="s">
        <v>41</v>
      </c>
      <c r="D5" s="1"/>
      <c r="E5" s="72">
        <v>11014</v>
      </c>
      <c r="F5" s="71" t="s">
        <v>804</v>
      </c>
      <c r="G5" t="str">
        <f t="shared" si="3"/>
        <v>1112,1111,1113</v>
      </c>
      <c r="H5" t="str">
        <f t="shared" si="4"/>
        <v>head_niumowang,head_tieshangongzhu,head_hulidaxian</v>
      </c>
      <c r="J5">
        <f>IFERROR(VLOOKUP(A5,Sheet2!$A$1:$B$114,2,FALSE),"")</f>
        <v>1112</v>
      </c>
      <c r="K5">
        <f>IFERROR(VLOOKUP(B5,Sheet2!$A$1:$B$114,2,FALSE),"")</f>
        <v>1111</v>
      </c>
      <c r="L5">
        <f>IFERROR(VLOOKUP(C5,Sheet2!$A$1:$B$114,2,FALSE),"")</f>
        <v>1113</v>
      </c>
      <c r="M5" t="str">
        <f>IFERROR(VLOOKUP(D5,Sheet2!$A$1:$B$114,2,FALSE),"")</f>
        <v/>
      </c>
      <c r="N5" t="str">
        <f>IFERROR(VLOOKUP(A5,Sheet2!$A$1:$C$114,3,FALSE),"")</f>
        <v>head_niumowang</v>
      </c>
      <c r="O5" t="str">
        <f>IFERROR(VLOOKUP(B5,Sheet2!$A$1:$C$114,3,FALSE),"")</f>
        <v>head_tieshangongzhu</v>
      </c>
      <c r="P5" t="str">
        <f>IFERROR(VLOOKUP(C5,Sheet2!$A$1:$C$114,3,FALSE),"")</f>
        <v>head_hulidaxian</v>
      </c>
      <c r="Q5" t="str">
        <f>IFERROR(VLOOKUP(D5,Sheet2!$A$1:$C$114,3,FALSE),"")</f>
        <v/>
      </c>
      <c r="S5" t="str">
        <f>VLOOKUP($E5,[1]Sheet1!$A:$J,10,0)</f>
        <v>生命，攻击+24%</v>
      </c>
      <c r="U5" s="52" t="s">
        <v>26</v>
      </c>
      <c r="V5" s="52">
        <f t="shared" si="5"/>
        <v>0.70000000000000007</v>
      </c>
      <c r="W5" s="52">
        <f t="shared" si="6"/>
        <v>0.70000000000000007</v>
      </c>
      <c r="X5" s="52">
        <f t="shared" si="7"/>
        <v>0.36</v>
      </c>
      <c r="Y5" s="110">
        <f t="shared" si="1"/>
        <v>1.7600000000000002</v>
      </c>
      <c r="AA5" s="1" t="s">
        <v>4</v>
      </c>
      <c r="AB5" s="1" t="s">
        <v>789</v>
      </c>
      <c r="AC5" s="1" t="s">
        <v>788</v>
      </c>
      <c r="AD5" s="1"/>
      <c r="AE5" s="130" t="s">
        <v>870</v>
      </c>
      <c r="AG5" t="str">
        <f t="shared" si="2"/>
        <v>24%</v>
      </c>
      <c r="AH5" t="str">
        <f t="shared" si="2"/>
        <v>24%</v>
      </c>
      <c r="AI5">
        <f t="shared" si="2"/>
        <v>0</v>
      </c>
      <c r="AL5" t="s">
        <v>839</v>
      </c>
    </row>
    <row r="6" spans="1:38" ht="13.5" customHeight="1">
      <c r="A6" s="1" t="s">
        <v>2</v>
      </c>
      <c r="B6" s="1" t="s">
        <v>48</v>
      </c>
      <c r="C6" s="1" t="s">
        <v>45</v>
      </c>
      <c r="D6" s="1"/>
      <c r="E6" s="72">
        <v>11015</v>
      </c>
      <c r="F6" s="71" t="s">
        <v>809</v>
      </c>
      <c r="G6" t="str">
        <f t="shared" si="3"/>
        <v>1120,1116,1115</v>
      </c>
      <c r="H6" t="str">
        <f t="shared" si="4"/>
        <v>head_zhubajie,head_baigufuren,head_yanglidaxian</v>
      </c>
      <c r="J6">
        <f>IFERROR(VLOOKUP(A6,Sheet2!$A$1:$B$114,2,FALSE),"")</f>
        <v>1120</v>
      </c>
      <c r="K6">
        <f>IFERROR(VLOOKUP(B6,Sheet2!$A$1:$B$114,2,FALSE),"")</f>
        <v>1116</v>
      </c>
      <c r="L6">
        <f>IFERROR(VLOOKUP(C6,Sheet2!$A$1:$B$114,2,FALSE),"")</f>
        <v>1115</v>
      </c>
      <c r="M6" t="str">
        <f>IFERROR(VLOOKUP(D6,Sheet2!$A$1:$B$114,2,FALSE),"")</f>
        <v/>
      </c>
      <c r="N6" t="str">
        <f>IFERROR(VLOOKUP(A6,Sheet2!$A$1:$C$114,3,FALSE),"")</f>
        <v>head_zhubajie</v>
      </c>
      <c r="O6" t="str">
        <f>IFERROR(VLOOKUP(B6,Sheet2!$A$1:$C$114,3,FALSE),"")</f>
        <v>head_baigufuren</v>
      </c>
      <c r="P6" t="str">
        <f>IFERROR(VLOOKUP(C6,Sheet2!$A$1:$C$114,3,FALSE),"")</f>
        <v>head_yanglidaxian</v>
      </c>
      <c r="Q6" t="str">
        <f>IFERROR(VLOOKUP(D6,Sheet2!$A$1:$C$114,3,FALSE),"")</f>
        <v/>
      </c>
      <c r="S6" t="str">
        <f>VLOOKUP($E6,[1]Sheet1!$A:$J,10,0)</f>
        <v>生命，防御+20%</v>
      </c>
      <c r="U6" s="52" t="s">
        <v>138</v>
      </c>
      <c r="V6" s="52">
        <f t="shared" si="5"/>
        <v>0.74</v>
      </c>
      <c r="W6" s="52">
        <f t="shared" si="6"/>
        <v>0.70000000000000007</v>
      </c>
      <c r="X6" s="52">
        <f t="shared" si="7"/>
        <v>0.56000000000000005</v>
      </c>
      <c r="Y6" s="110">
        <f t="shared" si="1"/>
        <v>2</v>
      </c>
      <c r="AA6" s="1" t="s">
        <v>22</v>
      </c>
      <c r="AB6" s="1" t="s">
        <v>166</v>
      </c>
      <c r="AC6" s="1" t="s">
        <v>153</v>
      </c>
      <c r="AD6" s="1"/>
      <c r="AE6" s="130" t="s">
        <v>845</v>
      </c>
      <c r="AG6" t="str">
        <f t="shared" si="2"/>
        <v>20%</v>
      </c>
      <c r="AH6">
        <f t="shared" si="2"/>
        <v>0</v>
      </c>
      <c r="AI6" t="str">
        <f t="shared" si="2"/>
        <v>20%</v>
      </c>
      <c r="AL6" t="s">
        <v>853</v>
      </c>
    </row>
    <row r="7" spans="1:38" ht="13.5" customHeight="1">
      <c r="A7" s="1" t="s">
        <v>41</v>
      </c>
      <c r="B7" s="1" t="s">
        <v>48</v>
      </c>
      <c r="C7" s="1" t="s">
        <v>45</v>
      </c>
      <c r="D7" s="1"/>
      <c r="E7" s="72">
        <v>11016</v>
      </c>
      <c r="F7" s="71" t="s">
        <v>808</v>
      </c>
      <c r="G7" t="str">
        <f t="shared" si="3"/>
        <v>1113,1116,1115</v>
      </c>
      <c r="H7" t="str">
        <f t="shared" si="4"/>
        <v>head_hulidaxian,head_baigufuren,head_yanglidaxian</v>
      </c>
      <c r="J7">
        <f>IFERROR(VLOOKUP(A7,Sheet2!$A$1:$B$114,2,FALSE),"")</f>
        <v>1113</v>
      </c>
      <c r="K7">
        <f>IFERROR(VLOOKUP(B7,Sheet2!$A$1:$B$114,2,FALSE),"")</f>
        <v>1116</v>
      </c>
      <c r="L7">
        <f>IFERROR(VLOOKUP(C7,Sheet2!$A$1:$B$114,2,FALSE),"")</f>
        <v>1115</v>
      </c>
      <c r="M7" t="str">
        <f>IFERROR(VLOOKUP(D7,Sheet2!$A$1:$B$114,2,FALSE),"")</f>
        <v/>
      </c>
      <c r="N7" t="str">
        <f>IFERROR(VLOOKUP(A7,Sheet2!$A$1:$C$114,3,FALSE),"")</f>
        <v>head_hulidaxian</v>
      </c>
      <c r="O7" t="str">
        <f>IFERROR(VLOOKUP(B7,Sheet2!$A$1:$C$114,3,FALSE),"")</f>
        <v>head_baigufuren</v>
      </c>
      <c r="P7" t="str">
        <f>IFERROR(VLOOKUP(C7,Sheet2!$A$1:$C$114,3,FALSE),"")</f>
        <v>head_yanglidaxian</v>
      </c>
      <c r="Q7" t="str">
        <f>IFERROR(VLOOKUP(D7,Sheet2!$A$1:$C$114,3,FALSE),"")</f>
        <v/>
      </c>
      <c r="S7" t="str">
        <f>VLOOKUP($E7,[1]Sheet1!$A:$J,10,0)</f>
        <v>生命，防御+20%</v>
      </c>
      <c r="U7" s="52" t="s">
        <v>22</v>
      </c>
      <c r="V7" s="52">
        <f t="shared" si="5"/>
        <v>0.74</v>
      </c>
      <c r="W7" s="52">
        <f t="shared" si="6"/>
        <v>0.70000000000000007</v>
      </c>
      <c r="X7" s="52">
        <f t="shared" si="7"/>
        <v>0.56000000000000005</v>
      </c>
      <c r="Y7" s="110">
        <f t="shared" si="1"/>
        <v>2</v>
      </c>
      <c r="AA7" s="1" t="s">
        <v>138</v>
      </c>
      <c r="AB7" s="1" t="s">
        <v>166</v>
      </c>
      <c r="AC7" s="1" t="s">
        <v>153</v>
      </c>
      <c r="AD7" s="1"/>
      <c r="AE7" s="130" t="s">
        <v>845</v>
      </c>
      <c r="AG7" t="str">
        <f t="shared" si="2"/>
        <v>20%</v>
      </c>
      <c r="AH7">
        <f t="shared" si="2"/>
        <v>0</v>
      </c>
      <c r="AI7" t="str">
        <f t="shared" si="2"/>
        <v>20%</v>
      </c>
      <c r="AL7" t="s">
        <v>853</v>
      </c>
    </row>
    <row r="8" spans="1:38" ht="13.5" customHeight="1">
      <c r="A8" s="1" t="s">
        <v>23</v>
      </c>
      <c r="B8" s="1" t="s">
        <v>169</v>
      </c>
      <c r="C8" s="1" t="s">
        <v>170</v>
      </c>
      <c r="D8" s="1"/>
      <c r="E8" s="72">
        <v>11017</v>
      </c>
      <c r="F8" s="71" t="s">
        <v>815</v>
      </c>
      <c r="G8" t="str">
        <f t="shared" si="3"/>
        <v>1117,1132,1208</v>
      </c>
      <c r="H8" t="str">
        <f t="shared" si="4"/>
        <v>head_liuermihou,head_hunshimowang,head_caidiexiantong</v>
      </c>
      <c r="J8">
        <f>IFERROR(VLOOKUP(A8,Sheet2!$A$1:$B$114,2,FALSE),"")</f>
        <v>1117</v>
      </c>
      <c r="K8">
        <f>IFERROR(VLOOKUP(B8,Sheet2!$A$1:$B$114,2,FALSE),"")</f>
        <v>1132</v>
      </c>
      <c r="L8">
        <f>IFERROR(VLOOKUP(C8,Sheet2!$A$1:$B$114,2,FALSE),"")</f>
        <v>1208</v>
      </c>
      <c r="M8" t="str">
        <f>IFERROR(VLOOKUP(D8,Sheet2!$A$1:$B$114,2,FALSE),"")</f>
        <v/>
      </c>
      <c r="N8" t="str">
        <f>IFERROR(VLOOKUP(A8,Sheet2!$A$1:$C$114,3,FALSE),"")</f>
        <v>head_liuermihou</v>
      </c>
      <c r="O8" t="str">
        <f>IFERROR(VLOOKUP(B8,Sheet2!$A$1:$C$114,3,FALSE),"")</f>
        <v>head_hunshimowang</v>
      </c>
      <c r="P8" t="str">
        <f>IFERROR(VLOOKUP(C8,Sheet2!$A$1:$C$114,3,FALSE),"")</f>
        <v>head_caidiexiantong</v>
      </c>
      <c r="Q8" t="str">
        <f>IFERROR(VLOOKUP(D8,Sheet2!$A$1:$C$114,3,FALSE),"")</f>
        <v/>
      </c>
      <c r="S8" t="str">
        <f>VLOOKUP($E8,[1]Sheet1!$A:$J,10,0)</f>
        <v>生命，防御+20%</v>
      </c>
      <c r="U8" s="52" t="s">
        <v>45</v>
      </c>
      <c r="V8" s="52">
        <f t="shared" si="5"/>
        <v>0.7</v>
      </c>
      <c r="W8" s="52">
        <f t="shared" si="6"/>
        <v>0.5</v>
      </c>
      <c r="X8" s="52">
        <f t="shared" si="7"/>
        <v>0.8</v>
      </c>
      <c r="Y8" s="110">
        <f t="shared" si="1"/>
        <v>2</v>
      </c>
      <c r="AA8" s="1" t="s">
        <v>24</v>
      </c>
      <c r="AB8" s="94" t="s">
        <v>793</v>
      </c>
      <c r="AC8" s="1" t="s">
        <v>794</v>
      </c>
      <c r="AD8" s="1"/>
      <c r="AE8" s="130" t="s">
        <v>845</v>
      </c>
      <c r="AG8" t="str">
        <f t="shared" si="2"/>
        <v>20%</v>
      </c>
      <c r="AH8">
        <f t="shared" si="2"/>
        <v>0</v>
      </c>
      <c r="AI8" t="str">
        <f t="shared" si="2"/>
        <v>20%</v>
      </c>
      <c r="AL8" t="s">
        <v>845</v>
      </c>
    </row>
    <row r="9" spans="1:38" ht="13.5" customHeight="1">
      <c r="A9" s="1" t="s">
        <v>47</v>
      </c>
      <c r="B9" s="1" t="s">
        <v>169</v>
      </c>
      <c r="C9" s="1" t="s">
        <v>170</v>
      </c>
      <c r="D9" s="1"/>
      <c r="E9" s="72">
        <v>11018</v>
      </c>
      <c r="F9" s="71" t="s">
        <v>817</v>
      </c>
      <c r="G9" t="str">
        <f t="shared" si="3"/>
        <v>1114,1132,1208</v>
      </c>
      <c r="H9" t="str">
        <f t="shared" si="4"/>
        <v>head_lulidaxian,head_hunshimowang,head_caidiexiantong</v>
      </c>
      <c r="J9">
        <f>IFERROR(VLOOKUP(A9,Sheet2!$A$1:$B$114,2,FALSE),"")</f>
        <v>1114</v>
      </c>
      <c r="K9">
        <f>IFERROR(VLOOKUP(B9,Sheet2!$A$1:$B$114,2,FALSE),"")</f>
        <v>1132</v>
      </c>
      <c r="L9">
        <f>IFERROR(VLOOKUP(C9,Sheet2!$A$1:$B$114,2,FALSE),"")</f>
        <v>1208</v>
      </c>
      <c r="M9" t="str">
        <f>IFERROR(VLOOKUP(D9,Sheet2!$A$1:$B$114,2,FALSE),"")</f>
        <v/>
      </c>
      <c r="N9" t="str">
        <f>IFERROR(VLOOKUP(A9,Sheet2!$A$1:$C$114,3,FALSE),"")</f>
        <v>head_lulidaxian</v>
      </c>
      <c r="O9" t="str">
        <f>IFERROR(VLOOKUP(B9,Sheet2!$A$1:$C$114,3,FALSE),"")</f>
        <v>head_hunshimowang</v>
      </c>
      <c r="P9" t="str">
        <f>IFERROR(VLOOKUP(C9,Sheet2!$A$1:$C$114,3,FALSE),"")</f>
        <v>head_caidiexiantong</v>
      </c>
      <c r="Q9" t="str">
        <f>IFERROR(VLOOKUP(D9,Sheet2!$A$1:$C$114,3,FALSE),"")</f>
        <v/>
      </c>
      <c r="S9" t="str">
        <f>VLOOKUP($E9,[1]Sheet1!$A:$J,10,0)</f>
        <v>生命，攻击+20%</v>
      </c>
      <c r="U9" s="53" t="s">
        <v>140</v>
      </c>
      <c r="V9" s="53">
        <f t="shared" si="5"/>
        <v>0.7</v>
      </c>
      <c r="W9" s="53">
        <f t="shared" si="6"/>
        <v>0.5</v>
      </c>
      <c r="X9" s="53">
        <f t="shared" si="7"/>
        <v>0.8</v>
      </c>
      <c r="Y9" s="114">
        <f t="shared" si="1"/>
        <v>2</v>
      </c>
      <c r="AA9" s="1" t="s">
        <v>152</v>
      </c>
      <c r="AB9" s="137" t="s">
        <v>869</v>
      </c>
      <c r="AC9" s="1" t="s">
        <v>794</v>
      </c>
      <c r="AD9" s="1"/>
      <c r="AE9" s="130" t="s">
        <v>853</v>
      </c>
      <c r="AG9" t="str">
        <f t="shared" si="2"/>
        <v>20%</v>
      </c>
      <c r="AH9" t="str">
        <f t="shared" si="2"/>
        <v>20%</v>
      </c>
      <c r="AI9">
        <f t="shared" si="2"/>
        <v>0</v>
      </c>
      <c r="AL9" t="s">
        <v>845</v>
      </c>
    </row>
    <row r="10" spans="1:38" ht="13.5" customHeight="1">
      <c r="A10" s="1" t="s">
        <v>16</v>
      </c>
      <c r="B10" s="1" t="s">
        <v>27</v>
      </c>
      <c r="C10" s="1" t="s">
        <v>47</v>
      </c>
      <c r="D10" s="1"/>
      <c r="E10" s="72">
        <v>11019</v>
      </c>
      <c r="F10" s="71" t="s">
        <v>819</v>
      </c>
      <c r="G10" t="str">
        <f t="shared" si="3"/>
        <v>1131,1137,1114</v>
      </c>
      <c r="H10" t="str">
        <f t="shared" si="4"/>
        <v>head_xiezijing,head_zhizhujing,head_lulidaxian</v>
      </c>
      <c r="J10">
        <f>IFERROR(VLOOKUP(A10,Sheet2!$A$1:$B$114,2,FALSE),"")</f>
        <v>1131</v>
      </c>
      <c r="K10">
        <f>IFERROR(VLOOKUP(B10,Sheet2!$A$1:$B$114,2,FALSE),"")</f>
        <v>1137</v>
      </c>
      <c r="L10">
        <f>IFERROR(VLOOKUP(C10,Sheet2!$A$1:$B$114,2,FALSE),"")</f>
        <v>1114</v>
      </c>
      <c r="M10" t="str">
        <f>IFERROR(VLOOKUP(D10,Sheet2!$A$1:$B$114,2,FALSE),"")</f>
        <v/>
      </c>
      <c r="N10" t="str">
        <f>IFERROR(VLOOKUP(A10,Sheet2!$A$1:$C$114,3,FALSE),"")</f>
        <v>head_xiezijing</v>
      </c>
      <c r="O10" t="str">
        <f>IFERROR(VLOOKUP(B10,Sheet2!$A$1:$C$114,3,FALSE),"")</f>
        <v>head_zhizhujing</v>
      </c>
      <c r="P10" t="str">
        <f>IFERROR(VLOOKUP(C10,Sheet2!$A$1:$C$114,3,FALSE),"")</f>
        <v>head_lulidaxian</v>
      </c>
      <c r="Q10" t="str">
        <f>IFERROR(VLOOKUP(D10,Sheet2!$A$1:$C$114,3,FALSE),"")</f>
        <v/>
      </c>
      <c r="S10" t="str">
        <f>VLOOKUP($E10,[1]Sheet1!$A:$J,10,0)</f>
        <v>生命，防御+20%</v>
      </c>
      <c r="U10" s="53" t="s">
        <v>24</v>
      </c>
      <c r="V10" s="53">
        <f t="shared" si="5"/>
        <v>0.56000000000000005</v>
      </c>
      <c r="W10" s="53">
        <f t="shared" si="6"/>
        <v>0.36</v>
      </c>
      <c r="X10" s="53">
        <f t="shared" si="7"/>
        <v>0.36</v>
      </c>
      <c r="Y10" s="114">
        <f t="shared" si="1"/>
        <v>1.28</v>
      </c>
      <c r="AA10" s="137" t="s">
        <v>16</v>
      </c>
      <c r="AB10" s="1" t="s">
        <v>797</v>
      </c>
      <c r="AC10" s="1" t="s">
        <v>795</v>
      </c>
      <c r="AD10" s="1"/>
      <c r="AE10" s="130" t="s">
        <v>845</v>
      </c>
      <c r="AG10" t="str">
        <f t="shared" si="2"/>
        <v>20%</v>
      </c>
      <c r="AH10">
        <f t="shared" si="2"/>
        <v>0</v>
      </c>
      <c r="AI10" t="str">
        <f t="shared" si="2"/>
        <v>20%</v>
      </c>
      <c r="AL10" t="s">
        <v>845</v>
      </c>
    </row>
    <row r="11" spans="1:38" ht="13.5" customHeight="1">
      <c r="A11" s="1" t="s">
        <v>23</v>
      </c>
      <c r="B11" s="1" t="s">
        <v>16</v>
      </c>
      <c r="C11" s="1" t="s">
        <v>27</v>
      </c>
      <c r="D11" s="1"/>
      <c r="E11" s="72">
        <v>11020</v>
      </c>
      <c r="F11" s="71" t="s">
        <v>821</v>
      </c>
      <c r="G11" t="str">
        <f t="shared" si="3"/>
        <v>1117,1131,1137</v>
      </c>
      <c r="H11" t="str">
        <f t="shared" si="4"/>
        <v>head_liuermihou,head_xiezijing,head_zhizhujing</v>
      </c>
      <c r="J11">
        <f>IFERROR(VLOOKUP(A11,Sheet2!$A$1:$B$114,2,FALSE),"")</f>
        <v>1117</v>
      </c>
      <c r="K11">
        <f>IFERROR(VLOOKUP(B11,Sheet2!$A$1:$B$114,2,FALSE),"")</f>
        <v>1131</v>
      </c>
      <c r="L11">
        <f>IFERROR(VLOOKUP(C11,Sheet2!$A$1:$B$114,2,FALSE),"")</f>
        <v>1137</v>
      </c>
      <c r="M11" t="str">
        <f>IFERROR(VLOOKUP(D11,Sheet2!$A$1:$B$114,2,FALSE),"")</f>
        <v/>
      </c>
      <c r="N11" t="str">
        <f>IFERROR(VLOOKUP(A11,Sheet2!$A$1:$C$114,3,FALSE),"")</f>
        <v>head_liuermihou</v>
      </c>
      <c r="O11" t="str">
        <f>IFERROR(VLOOKUP(B11,Sheet2!$A$1:$C$114,3,FALSE),"")</f>
        <v>head_xiezijing</v>
      </c>
      <c r="P11" t="str">
        <f>IFERROR(VLOOKUP(C11,Sheet2!$A$1:$C$114,3,FALSE),"")</f>
        <v>head_zhizhujing</v>
      </c>
      <c r="Q11" t="str">
        <f>IFERROR(VLOOKUP(D11,Sheet2!$A$1:$C$114,3,FALSE),"")</f>
        <v/>
      </c>
      <c r="S11" t="str">
        <f>VLOOKUP($E11,[1]Sheet1!$A:$J,10,0)</f>
        <v>生命，攻击+20%</v>
      </c>
      <c r="U11" s="53" t="s">
        <v>152</v>
      </c>
      <c r="V11" s="53">
        <f t="shared" si="5"/>
        <v>0.56000000000000005</v>
      </c>
      <c r="W11" s="53">
        <f t="shared" si="6"/>
        <v>0.36</v>
      </c>
      <c r="X11" s="53">
        <f t="shared" si="7"/>
        <v>0.36</v>
      </c>
      <c r="Y11" s="114">
        <f t="shared" si="1"/>
        <v>1.28</v>
      </c>
      <c r="AA11" s="1" t="s">
        <v>792</v>
      </c>
      <c r="AB11" s="1" t="s">
        <v>796</v>
      </c>
      <c r="AC11" s="1" t="s">
        <v>797</v>
      </c>
      <c r="AD11" s="1"/>
      <c r="AE11" s="130" t="s">
        <v>853</v>
      </c>
      <c r="AG11" t="str">
        <f t="shared" si="2"/>
        <v>20%</v>
      </c>
      <c r="AH11" t="str">
        <f t="shared" si="2"/>
        <v>20%</v>
      </c>
      <c r="AI11">
        <f t="shared" si="2"/>
        <v>0</v>
      </c>
      <c r="AL11" t="s">
        <v>845</v>
      </c>
    </row>
    <row r="12" spans="1:38" ht="13.5" customHeight="1">
      <c r="A12" s="1" t="s">
        <v>0</v>
      </c>
      <c r="B12" s="1" t="s">
        <v>48</v>
      </c>
      <c r="C12" s="1"/>
      <c r="D12" s="1"/>
      <c r="E12" s="72">
        <v>11021</v>
      </c>
      <c r="F12" s="71" t="s">
        <v>806</v>
      </c>
      <c r="G12" t="str">
        <f t="shared" si="3"/>
        <v>1119,1116</v>
      </c>
      <c r="H12" t="str">
        <f t="shared" si="4"/>
        <v>head_sunwukong,head_baigufuren</v>
      </c>
      <c r="J12">
        <f>IFERROR(VLOOKUP(A12,Sheet2!$A$1:$B$114,2,FALSE),"")</f>
        <v>1119</v>
      </c>
      <c r="K12">
        <f>IFERROR(VLOOKUP(B12,Sheet2!$A$1:$B$114,2,FALSE),"")</f>
        <v>1116</v>
      </c>
      <c r="L12" t="str">
        <f>IFERROR(VLOOKUP(C12,Sheet2!$A$1:$B$114,2,FALSE),"")</f>
        <v/>
      </c>
      <c r="M12" t="str">
        <f>IFERROR(VLOOKUP(D12,Sheet2!$A$1:$B$114,2,FALSE),"")</f>
        <v/>
      </c>
      <c r="N12" t="str">
        <f>IFERROR(VLOOKUP(A12,Sheet2!$A$1:$C$114,3,FALSE),"")</f>
        <v>head_sunwukong</v>
      </c>
      <c r="O12" t="str">
        <f>IFERROR(VLOOKUP(B12,Sheet2!$A$1:$C$114,3,FALSE),"")</f>
        <v>head_baigufuren</v>
      </c>
      <c r="P12" t="str">
        <f>IFERROR(VLOOKUP(C12,Sheet2!$A$1:$C$114,3,FALSE),"")</f>
        <v/>
      </c>
      <c r="Q12" t="str">
        <f>IFERROR(VLOOKUP(D12,Sheet2!$A$1:$C$114,3,FALSE),"")</f>
        <v/>
      </c>
      <c r="S12" t="str">
        <f>VLOOKUP($E12,[1]Sheet1!$A:$J,10,0)</f>
        <v>防御+20%</v>
      </c>
      <c r="U12" s="53" t="s">
        <v>83</v>
      </c>
      <c r="V12" s="53">
        <f t="shared" si="5"/>
        <v>0.56000000000000005</v>
      </c>
      <c r="W12" s="53">
        <f t="shared" si="6"/>
        <v>0.36</v>
      </c>
      <c r="X12" s="53">
        <f t="shared" si="7"/>
        <v>0.36</v>
      </c>
      <c r="Y12" s="114">
        <f t="shared" si="1"/>
        <v>1.28</v>
      </c>
      <c r="AA12" s="1" t="s">
        <v>791</v>
      </c>
      <c r="AB12" s="1" t="s">
        <v>166</v>
      </c>
      <c r="AC12" s="1"/>
      <c r="AD12" s="1"/>
      <c r="AE12" s="130" t="s">
        <v>865</v>
      </c>
      <c r="AG12">
        <f t="shared" si="2"/>
        <v>0</v>
      </c>
      <c r="AH12">
        <f t="shared" si="2"/>
        <v>0</v>
      </c>
      <c r="AI12" t="str">
        <f t="shared" si="2"/>
        <v>20%</v>
      </c>
      <c r="AL12" t="s">
        <v>843</v>
      </c>
    </row>
    <row r="13" spans="1:38" ht="13.5" customHeight="1">
      <c r="A13" s="1" t="s">
        <v>46</v>
      </c>
      <c r="B13" s="1" t="s">
        <v>48</v>
      </c>
      <c r="C13" s="1"/>
      <c r="D13" s="1"/>
      <c r="E13" s="72">
        <v>11022</v>
      </c>
      <c r="F13" s="71" t="s">
        <v>808</v>
      </c>
      <c r="G13" t="str">
        <f t="shared" si="3"/>
        <v>1124,1116</v>
      </c>
      <c r="H13" t="str">
        <f t="shared" si="4"/>
        <v>head_shaheshang,head_baigufuren</v>
      </c>
      <c r="J13">
        <f>IFERROR(VLOOKUP(A13,Sheet2!$A$1:$B$114,2,FALSE),"")</f>
        <v>1124</v>
      </c>
      <c r="K13">
        <f>IFERROR(VLOOKUP(B13,Sheet2!$A$1:$B$114,2,FALSE),"")</f>
        <v>1116</v>
      </c>
      <c r="L13" t="str">
        <f>IFERROR(VLOOKUP(C13,Sheet2!$A$1:$B$114,2,FALSE),"")</f>
        <v/>
      </c>
      <c r="M13" t="str">
        <f>IFERROR(VLOOKUP(D13,Sheet2!$A$1:$B$114,2,FALSE),"")</f>
        <v/>
      </c>
      <c r="N13" t="str">
        <f>IFERROR(VLOOKUP(A13,Sheet2!$A$1:$C$114,3,FALSE),"")</f>
        <v>head_shaheshang</v>
      </c>
      <c r="O13" t="str">
        <f>IFERROR(VLOOKUP(B13,Sheet2!$A$1:$C$114,3,FALSE),"")</f>
        <v>head_baigufuren</v>
      </c>
      <c r="P13" t="str">
        <f>IFERROR(VLOOKUP(C13,Sheet2!$A$1:$C$114,3,FALSE),"")</f>
        <v/>
      </c>
      <c r="Q13" t="str">
        <f>IFERROR(VLOOKUP(D13,Sheet2!$A$1:$C$114,3,FALSE),"")</f>
        <v/>
      </c>
      <c r="S13" t="str">
        <f>VLOOKUP($E13,[1]Sheet1!$A:$J,10,0)</f>
        <v>防御+20%</v>
      </c>
      <c r="U13" s="53" t="s">
        <v>763</v>
      </c>
      <c r="V13" s="53">
        <f t="shared" si="5"/>
        <v>0.56000000000000005</v>
      </c>
      <c r="W13" s="53">
        <f t="shared" si="6"/>
        <v>0.36</v>
      </c>
      <c r="X13" s="53">
        <f t="shared" si="7"/>
        <v>0.36</v>
      </c>
      <c r="Y13" s="114">
        <f t="shared" si="1"/>
        <v>1.28</v>
      </c>
      <c r="AA13" s="1" t="s">
        <v>95</v>
      </c>
      <c r="AB13" s="1" t="s">
        <v>166</v>
      </c>
      <c r="AC13" s="1"/>
      <c r="AD13" s="1"/>
      <c r="AE13" s="130" t="s">
        <v>866</v>
      </c>
      <c r="AG13">
        <f t="shared" si="2"/>
        <v>0</v>
      </c>
      <c r="AH13">
        <f t="shared" si="2"/>
        <v>0</v>
      </c>
      <c r="AI13" t="str">
        <f t="shared" si="2"/>
        <v>20%</v>
      </c>
      <c r="AL13" t="s">
        <v>843</v>
      </c>
    </row>
    <row r="14" spans="1:38" ht="13.5" customHeight="1">
      <c r="A14" s="1" t="s">
        <v>3</v>
      </c>
      <c r="B14" s="1" t="s">
        <v>45</v>
      </c>
      <c r="C14" s="1"/>
      <c r="D14" s="1"/>
      <c r="E14" s="72">
        <v>11023</v>
      </c>
      <c r="F14" s="71" t="s">
        <v>812</v>
      </c>
      <c r="G14" t="str">
        <f t="shared" si="3"/>
        <v>1112,1115</v>
      </c>
      <c r="H14" t="str">
        <f t="shared" si="4"/>
        <v>head_niumowang,head_yanglidaxian</v>
      </c>
      <c r="J14">
        <f>IFERROR(VLOOKUP(A14,Sheet2!$A$1:$B$114,2,FALSE),"")</f>
        <v>1112</v>
      </c>
      <c r="K14">
        <f>IFERROR(VLOOKUP(B14,Sheet2!$A$1:$B$114,2,FALSE),"")</f>
        <v>1115</v>
      </c>
      <c r="L14" t="str">
        <f>IFERROR(VLOOKUP(C14,Sheet2!$A$1:$B$114,2,FALSE),"")</f>
        <v/>
      </c>
      <c r="M14" t="str">
        <f>IFERROR(VLOOKUP(D14,Sheet2!$A$1:$B$114,2,FALSE),"")</f>
        <v/>
      </c>
      <c r="N14" t="str">
        <f>IFERROR(VLOOKUP(A14,Sheet2!$A$1:$C$114,3,FALSE),"")</f>
        <v>head_niumowang</v>
      </c>
      <c r="O14" t="str">
        <f>IFERROR(VLOOKUP(B14,Sheet2!$A$1:$C$114,3,FALSE),"")</f>
        <v>head_yanglidaxian</v>
      </c>
      <c r="P14" t="str">
        <f>IFERROR(VLOOKUP(C14,Sheet2!$A$1:$C$114,3,FALSE),"")</f>
        <v/>
      </c>
      <c r="Q14" t="str">
        <f>IFERROR(VLOOKUP(D14,Sheet2!$A$1:$C$114,3,FALSE),"")</f>
        <v/>
      </c>
      <c r="S14" t="str">
        <f>VLOOKUP($E14,[1]Sheet1!$A:$J,10,0)</f>
        <v>防御+20%</v>
      </c>
      <c r="U14" s="53" t="s">
        <v>17</v>
      </c>
      <c r="V14" s="53">
        <f t="shared" si="5"/>
        <v>0.56000000000000005</v>
      </c>
      <c r="W14" s="53">
        <f t="shared" si="6"/>
        <v>0.36</v>
      </c>
      <c r="X14" s="53">
        <f t="shared" si="7"/>
        <v>0.36</v>
      </c>
      <c r="Y14" s="114">
        <f t="shared" si="1"/>
        <v>1.28</v>
      </c>
      <c r="AA14" s="1" t="s">
        <v>4</v>
      </c>
      <c r="AB14" s="1" t="s">
        <v>153</v>
      </c>
      <c r="AC14" s="1"/>
      <c r="AD14" s="1"/>
      <c r="AE14" s="130" t="s">
        <v>865</v>
      </c>
      <c r="AG14">
        <f t="shared" si="2"/>
        <v>0</v>
      </c>
      <c r="AH14">
        <f t="shared" si="2"/>
        <v>0</v>
      </c>
      <c r="AI14" t="str">
        <f t="shared" si="2"/>
        <v>20%</v>
      </c>
      <c r="AL14" t="s">
        <v>843</v>
      </c>
    </row>
    <row r="15" spans="1:38" ht="13.5" customHeight="1">
      <c r="A15" s="1" t="s">
        <v>168</v>
      </c>
      <c r="B15" s="1" t="s">
        <v>45</v>
      </c>
      <c r="C15" s="1"/>
      <c r="D15" s="1"/>
      <c r="E15" s="72">
        <v>11024</v>
      </c>
      <c r="F15" s="71" t="s">
        <v>681</v>
      </c>
      <c r="G15" t="str">
        <f t="shared" si="3"/>
        <v>1111,1115</v>
      </c>
      <c r="H15" t="str">
        <f t="shared" si="4"/>
        <v>head_tieshangongzhu,head_yanglidaxian</v>
      </c>
      <c r="J15">
        <f>IFERROR(VLOOKUP(A15,Sheet2!$A$1:$B$114,2,FALSE),"")</f>
        <v>1111</v>
      </c>
      <c r="K15">
        <f>IFERROR(VLOOKUP(B15,Sheet2!$A$1:$B$114,2,FALSE),"")</f>
        <v>1115</v>
      </c>
      <c r="L15" t="str">
        <f>IFERROR(VLOOKUP(C15,Sheet2!$A$1:$B$114,2,FALSE),"")</f>
        <v/>
      </c>
      <c r="M15" t="str">
        <f>IFERROR(VLOOKUP(D15,Sheet2!$A$1:$B$114,2,FALSE),"")</f>
        <v/>
      </c>
      <c r="N15" t="str">
        <f>IFERROR(VLOOKUP(A15,Sheet2!$A$1:$C$114,3,FALSE),"")</f>
        <v>head_tieshangongzhu</v>
      </c>
      <c r="O15" t="str">
        <f>IFERROR(VLOOKUP(B15,Sheet2!$A$1:$C$114,3,FALSE),"")</f>
        <v>head_yanglidaxian</v>
      </c>
      <c r="P15" t="str">
        <f>IFERROR(VLOOKUP(C15,Sheet2!$A$1:$C$114,3,FALSE),"")</f>
        <v/>
      </c>
      <c r="Q15" t="str">
        <f>IFERROR(VLOOKUP(D15,Sheet2!$A$1:$C$114,3,FALSE),"")</f>
        <v/>
      </c>
      <c r="S15" t="str">
        <f>VLOOKUP($E15,[1]Sheet1!$A:$J,10,0)</f>
        <v>防御+20%</v>
      </c>
      <c r="U15" s="53" t="s">
        <v>767</v>
      </c>
      <c r="V15" s="53">
        <f t="shared" si="5"/>
        <v>0.56000000000000005</v>
      </c>
      <c r="W15" s="53">
        <f t="shared" si="6"/>
        <v>0.36</v>
      </c>
      <c r="X15" s="53">
        <f t="shared" si="7"/>
        <v>0.36</v>
      </c>
      <c r="Y15" s="114">
        <f t="shared" si="1"/>
        <v>1.28</v>
      </c>
      <c r="AA15" s="1" t="s">
        <v>789</v>
      </c>
      <c r="AB15" s="1" t="s">
        <v>153</v>
      </c>
      <c r="AC15" s="1"/>
      <c r="AD15" s="1"/>
      <c r="AE15" s="130" t="s">
        <v>866</v>
      </c>
      <c r="AG15">
        <f t="shared" si="2"/>
        <v>0</v>
      </c>
      <c r="AH15">
        <f t="shared" si="2"/>
        <v>0</v>
      </c>
      <c r="AI15" t="str">
        <f t="shared" si="2"/>
        <v>20%</v>
      </c>
      <c r="AL15" t="s">
        <v>843</v>
      </c>
    </row>
    <row r="16" spans="1:38" ht="13.5" customHeight="1">
      <c r="A16" s="1" t="s">
        <v>2</v>
      </c>
      <c r="B16" s="1" t="s">
        <v>23</v>
      </c>
      <c r="C16" s="1"/>
      <c r="D16" s="1"/>
      <c r="E16" s="72">
        <v>11025</v>
      </c>
      <c r="F16" s="71" t="s">
        <v>823</v>
      </c>
      <c r="G16" t="str">
        <f t="shared" si="3"/>
        <v>1120,1117</v>
      </c>
      <c r="H16" t="str">
        <f t="shared" si="4"/>
        <v>head_zhubajie,head_liuermihou</v>
      </c>
      <c r="J16">
        <f>IFERROR(VLOOKUP(A16,Sheet2!$A$1:$B$114,2,FALSE),"")</f>
        <v>1120</v>
      </c>
      <c r="K16">
        <f>IFERROR(VLOOKUP(B16,Sheet2!$A$1:$B$114,2,FALSE),"")</f>
        <v>1117</v>
      </c>
      <c r="L16" t="str">
        <f>IFERROR(VLOOKUP(C16,Sheet2!$A$1:$B$114,2,FALSE),"")</f>
        <v/>
      </c>
      <c r="M16" t="str">
        <f>IFERROR(VLOOKUP(D16,Sheet2!$A$1:$B$114,2,FALSE),"")</f>
        <v/>
      </c>
      <c r="N16" t="str">
        <f>IFERROR(VLOOKUP(A16,Sheet2!$A$1:$C$114,3,FALSE),"")</f>
        <v>head_zhubajie</v>
      </c>
      <c r="O16" t="str">
        <f>IFERROR(VLOOKUP(B16,Sheet2!$A$1:$C$114,3,FALSE),"")</f>
        <v>head_liuermihou</v>
      </c>
      <c r="P16" t="str">
        <f>IFERROR(VLOOKUP(C16,Sheet2!$A$1:$C$114,3,FALSE),"")</f>
        <v/>
      </c>
      <c r="Q16" t="str">
        <f>IFERROR(VLOOKUP(D16,Sheet2!$A$1:$C$114,3,FALSE),"")</f>
        <v/>
      </c>
      <c r="S16" t="str">
        <f>VLOOKUP($E16,[1]Sheet1!$A:$J,10,0)</f>
        <v>防御+16%</v>
      </c>
      <c r="U16" s="128" t="s">
        <v>858</v>
      </c>
      <c r="V16" s="128">
        <f t="shared" si="5"/>
        <v>0.4</v>
      </c>
      <c r="W16" s="128">
        <f t="shared" si="6"/>
        <v>0.36</v>
      </c>
      <c r="X16" s="128">
        <f t="shared" si="7"/>
        <v>0.36</v>
      </c>
      <c r="Y16" s="132">
        <f t="shared" ref="Y16:Y21" si="8">SUM(V16:X16)</f>
        <v>1.1200000000000001</v>
      </c>
      <c r="AA16" s="1" t="s">
        <v>790</v>
      </c>
      <c r="AB16" s="1" t="s">
        <v>792</v>
      </c>
      <c r="AC16" s="1"/>
      <c r="AD16" s="1"/>
      <c r="AE16" s="130" t="s">
        <v>849</v>
      </c>
      <c r="AG16">
        <f t="shared" si="2"/>
        <v>0</v>
      </c>
      <c r="AH16">
        <f t="shared" si="2"/>
        <v>0</v>
      </c>
      <c r="AI16" t="str">
        <f t="shared" si="2"/>
        <v>16%</v>
      </c>
      <c r="AL16" t="s">
        <v>849</v>
      </c>
    </row>
    <row r="17" spans="1:38" ht="13.5" customHeight="1">
      <c r="A17" s="1" t="s">
        <v>41</v>
      </c>
      <c r="B17" s="1" t="s">
        <v>23</v>
      </c>
      <c r="C17" s="1"/>
      <c r="D17" s="1"/>
      <c r="E17" s="72">
        <v>11026</v>
      </c>
      <c r="F17" s="71" t="s">
        <v>369</v>
      </c>
      <c r="G17" t="str">
        <f t="shared" si="3"/>
        <v>1113,1117</v>
      </c>
      <c r="H17" t="str">
        <f t="shared" si="4"/>
        <v>head_hulidaxian,head_liuermihou</v>
      </c>
      <c r="J17">
        <f>IFERROR(VLOOKUP(A17,Sheet2!$A$1:$B$114,2,FALSE),"")</f>
        <v>1113</v>
      </c>
      <c r="K17">
        <f>IFERROR(VLOOKUP(B17,Sheet2!$A$1:$B$114,2,FALSE),"")</f>
        <v>1117</v>
      </c>
      <c r="L17" t="str">
        <f>IFERROR(VLOOKUP(C17,Sheet2!$A$1:$B$114,2,FALSE),"")</f>
        <v/>
      </c>
      <c r="M17" t="str">
        <f>IFERROR(VLOOKUP(D17,Sheet2!$A$1:$B$114,2,FALSE),"")</f>
        <v/>
      </c>
      <c r="N17" t="str">
        <f>IFERROR(VLOOKUP(A17,Sheet2!$A$1:$C$114,3,FALSE),"")</f>
        <v>head_hulidaxian</v>
      </c>
      <c r="O17" t="str">
        <f>IFERROR(VLOOKUP(B17,Sheet2!$A$1:$C$114,3,FALSE),"")</f>
        <v>head_liuermihou</v>
      </c>
      <c r="P17" t="str">
        <f>IFERROR(VLOOKUP(C17,Sheet2!$A$1:$C$114,3,FALSE),"")</f>
        <v/>
      </c>
      <c r="Q17" t="str">
        <f>IFERROR(VLOOKUP(D17,Sheet2!$A$1:$C$114,3,FALSE),"")</f>
        <v/>
      </c>
      <c r="S17" t="str">
        <f>VLOOKUP($E17,[1]Sheet1!$A:$J,10,0)</f>
        <v>攻击+16%</v>
      </c>
      <c r="U17" s="128" t="s">
        <v>859</v>
      </c>
      <c r="V17" s="128">
        <f t="shared" si="5"/>
        <v>0.4</v>
      </c>
      <c r="W17" s="128">
        <f t="shared" si="6"/>
        <v>0.36</v>
      </c>
      <c r="X17" s="128">
        <f t="shared" si="7"/>
        <v>0.36</v>
      </c>
      <c r="Y17" s="132">
        <f t="shared" si="8"/>
        <v>1.1200000000000001</v>
      </c>
      <c r="AA17" s="1" t="s">
        <v>788</v>
      </c>
      <c r="AB17" s="1" t="s">
        <v>792</v>
      </c>
      <c r="AC17" s="1"/>
      <c r="AD17" s="1"/>
      <c r="AE17" s="130" t="s">
        <v>847</v>
      </c>
      <c r="AG17">
        <f t="shared" si="2"/>
        <v>0</v>
      </c>
      <c r="AH17" t="str">
        <f t="shared" si="2"/>
        <v>16%</v>
      </c>
      <c r="AI17">
        <f t="shared" si="2"/>
        <v>0</v>
      </c>
      <c r="AL17" t="s">
        <v>847</v>
      </c>
    </row>
    <row r="18" spans="1:38" ht="13.5" customHeight="1">
      <c r="A18" s="1" t="s">
        <v>2</v>
      </c>
      <c r="B18" s="1" t="s">
        <v>169</v>
      </c>
      <c r="C18" s="1"/>
      <c r="D18" s="1"/>
      <c r="E18" s="72">
        <v>11027</v>
      </c>
      <c r="F18" s="71" t="s">
        <v>370</v>
      </c>
      <c r="G18" t="str">
        <f t="shared" si="3"/>
        <v>1120,1132</v>
      </c>
      <c r="H18" t="str">
        <f t="shared" si="4"/>
        <v>head_zhubajie,head_hunshimowang</v>
      </c>
      <c r="J18">
        <f>IFERROR(VLOOKUP(A18,Sheet2!$A$1:$B$114,2,FALSE),"")</f>
        <v>1120</v>
      </c>
      <c r="K18">
        <f>IFERROR(VLOOKUP(B18,Sheet2!$A$1:$B$114,2,FALSE),"")</f>
        <v>1132</v>
      </c>
      <c r="L18" t="str">
        <f>IFERROR(VLOOKUP(C18,Sheet2!$A$1:$B$114,2,FALSE),"")</f>
        <v/>
      </c>
      <c r="M18" t="str">
        <f>IFERROR(VLOOKUP(D18,Sheet2!$A$1:$B$114,2,FALSE),"")</f>
        <v/>
      </c>
      <c r="N18" t="str">
        <f>IFERROR(VLOOKUP(A18,Sheet2!$A$1:$C$114,3,FALSE),"")</f>
        <v>head_zhubajie</v>
      </c>
      <c r="O18" t="str">
        <f>IFERROR(VLOOKUP(B18,Sheet2!$A$1:$C$114,3,FALSE),"")</f>
        <v>head_hunshimowang</v>
      </c>
      <c r="P18" t="str">
        <f>IFERROR(VLOOKUP(C18,Sheet2!$A$1:$C$114,3,FALSE),"")</f>
        <v/>
      </c>
      <c r="Q18" t="str">
        <f>IFERROR(VLOOKUP(D18,Sheet2!$A$1:$C$114,3,FALSE),"")</f>
        <v/>
      </c>
      <c r="S18" t="str">
        <f>VLOOKUP($E18,[1]Sheet1!$A:$J,10,0)</f>
        <v>攻击+16%</v>
      </c>
      <c r="U18" s="128" t="s">
        <v>860</v>
      </c>
      <c r="V18" s="128">
        <f t="shared" si="5"/>
        <v>0.4</v>
      </c>
      <c r="W18" s="128">
        <f t="shared" si="6"/>
        <v>0.36</v>
      </c>
      <c r="X18" s="128">
        <f t="shared" si="7"/>
        <v>0.36</v>
      </c>
      <c r="Y18" s="132">
        <f t="shared" si="8"/>
        <v>1.1200000000000001</v>
      </c>
      <c r="AA18" s="1" t="s">
        <v>790</v>
      </c>
      <c r="AB18" s="1" t="s">
        <v>793</v>
      </c>
      <c r="AC18" s="1"/>
      <c r="AD18" s="1"/>
      <c r="AE18" s="130" t="s">
        <v>847</v>
      </c>
      <c r="AG18">
        <f t="shared" si="2"/>
        <v>0</v>
      </c>
      <c r="AH18" t="str">
        <f t="shared" si="2"/>
        <v>16%</v>
      </c>
      <c r="AI18">
        <f t="shared" si="2"/>
        <v>0</v>
      </c>
      <c r="AL18" t="s">
        <v>847</v>
      </c>
    </row>
    <row r="19" spans="1:38" ht="13.5" customHeight="1">
      <c r="A19" s="1" t="s">
        <v>41</v>
      </c>
      <c r="B19" s="1" t="s">
        <v>169</v>
      </c>
      <c r="C19" s="1"/>
      <c r="D19" s="1"/>
      <c r="E19" s="72">
        <v>11028</v>
      </c>
      <c r="F19" s="71" t="s">
        <v>371</v>
      </c>
      <c r="G19" t="str">
        <f t="shared" si="3"/>
        <v>1113,1132</v>
      </c>
      <c r="H19" t="str">
        <f t="shared" si="4"/>
        <v>head_hulidaxian,head_hunshimowang</v>
      </c>
      <c r="J19">
        <f>IFERROR(VLOOKUP(A19,Sheet2!$A$1:$B$114,2,FALSE),"")</f>
        <v>1113</v>
      </c>
      <c r="K19">
        <f>IFERROR(VLOOKUP(B19,Sheet2!$A$1:$B$114,2,FALSE),"")</f>
        <v>1132</v>
      </c>
      <c r="L19" t="str">
        <f>IFERROR(VLOOKUP(C19,Sheet2!$A$1:$B$114,2,FALSE),"")</f>
        <v/>
      </c>
      <c r="M19" t="str">
        <f>IFERROR(VLOOKUP(D19,Sheet2!$A$1:$B$114,2,FALSE),"")</f>
        <v/>
      </c>
      <c r="N19" t="str">
        <f>IFERROR(VLOOKUP(A19,Sheet2!$A$1:$C$114,3,FALSE),"")</f>
        <v>head_hulidaxian</v>
      </c>
      <c r="O19" t="str">
        <f>IFERROR(VLOOKUP(B19,Sheet2!$A$1:$C$114,3,FALSE),"")</f>
        <v>head_hunshimowang</v>
      </c>
      <c r="P19" t="str">
        <f>IFERROR(VLOOKUP(C19,Sheet2!$A$1:$C$114,3,FALSE),"")</f>
        <v/>
      </c>
      <c r="Q19" t="str">
        <f>IFERROR(VLOOKUP(D19,Sheet2!$A$1:$C$114,3,FALSE),"")</f>
        <v/>
      </c>
      <c r="S19" t="str">
        <f>VLOOKUP($E19,[1]Sheet1!$A:$J,10,0)</f>
        <v>防御+16%</v>
      </c>
      <c r="U19" s="128" t="s">
        <v>861</v>
      </c>
      <c r="V19" s="128">
        <f t="shared" si="5"/>
        <v>0.4</v>
      </c>
      <c r="W19" s="128">
        <f t="shared" si="6"/>
        <v>0.36</v>
      </c>
      <c r="X19" s="128">
        <f t="shared" si="7"/>
        <v>0.36</v>
      </c>
      <c r="Y19" s="132">
        <f t="shared" si="8"/>
        <v>1.1200000000000001</v>
      </c>
      <c r="AA19" s="1" t="s">
        <v>788</v>
      </c>
      <c r="AB19" s="1" t="s">
        <v>793</v>
      </c>
      <c r="AC19" s="1"/>
      <c r="AD19" s="1"/>
      <c r="AE19" s="130" t="s">
        <v>849</v>
      </c>
      <c r="AG19">
        <f t="shared" si="2"/>
        <v>0</v>
      </c>
      <c r="AH19">
        <f t="shared" si="2"/>
        <v>0</v>
      </c>
      <c r="AI19" t="str">
        <f t="shared" si="2"/>
        <v>16%</v>
      </c>
      <c r="AL19" t="s">
        <v>849</v>
      </c>
    </row>
    <row r="20" spans="1:38" ht="13.5" customHeight="1">
      <c r="A20" s="1" t="s">
        <v>2</v>
      </c>
      <c r="B20" s="1" t="s">
        <v>41</v>
      </c>
      <c r="C20" s="1"/>
      <c r="D20" s="1"/>
      <c r="E20" s="72">
        <v>11029</v>
      </c>
      <c r="F20" s="71" t="s">
        <v>372</v>
      </c>
      <c r="G20" t="str">
        <f t="shared" si="3"/>
        <v>1120,1113</v>
      </c>
      <c r="H20" t="str">
        <f t="shared" si="4"/>
        <v>head_zhubajie,head_hulidaxian</v>
      </c>
      <c r="J20">
        <f>IFERROR(VLOOKUP(A20,Sheet2!$A$1:$B$114,2,FALSE),"")</f>
        <v>1120</v>
      </c>
      <c r="K20">
        <f>IFERROR(VLOOKUP(B20,Sheet2!$A$1:$B$114,2,FALSE),"")</f>
        <v>1113</v>
      </c>
      <c r="L20" t="str">
        <f>IFERROR(VLOOKUP(C20,Sheet2!$A$1:$B$114,2,FALSE),"")</f>
        <v/>
      </c>
      <c r="M20" t="str">
        <f>IFERROR(VLOOKUP(D20,Sheet2!$A$1:$B$114,2,FALSE),"")</f>
        <v/>
      </c>
      <c r="N20" t="str">
        <f>IFERROR(VLOOKUP(A20,Sheet2!$A$1:$C$114,3,FALSE),"")</f>
        <v>head_zhubajie</v>
      </c>
      <c r="O20" t="str">
        <f>IFERROR(VLOOKUP(B20,Sheet2!$A$1:$C$114,3,FALSE),"")</f>
        <v>head_hulidaxian</v>
      </c>
      <c r="P20" t="str">
        <f>IFERROR(VLOOKUP(C20,Sheet2!$A$1:$C$114,3,FALSE),"")</f>
        <v/>
      </c>
      <c r="Q20" t="str">
        <f>IFERROR(VLOOKUP(D20,Sheet2!$A$1:$C$114,3,FALSE),"")</f>
        <v/>
      </c>
      <c r="S20" t="str">
        <f>VLOOKUP($E20,[1]Sheet1!$A:$J,10,0)</f>
        <v>防御+20%</v>
      </c>
      <c r="U20" s="129" t="s">
        <v>862</v>
      </c>
      <c r="V20" s="129">
        <f t="shared" si="5"/>
        <v>0.4</v>
      </c>
      <c r="W20" s="129">
        <f t="shared" si="6"/>
        <v>0.36</v>
      </c>
      <c r="X20" s="129">
        <f t="shared" si="7"/>
        <v>0.36</v>
      </c>
      <c r="Y20" s="133">
        <f t="shared" si="8"/>
        <v>1.1200000000000001</v>
      </c>
      <c r="AA20" s="1" t="s">
        <v>790</v>
      </c>
      <c r="AB20" s="1" t="s">
        <v>788</v>
      </c>
      <c r="AC20" s="1"/>
      <c r="AD20" s="1"/>
      <c r="AE20" s="130" t="s">
        <v>843</v>
      </c>
      <c r="AG20">
        <f t="shared" si="2"/>
        <v>0</v>
      </c>
      <c r="AH20">
        <f t="shared" si="2"/>
        <v>0</v>
      </c>
      <c r="AI20" t="str">
        <f t="shared" si="2"/>
        <v>20%</v>
      </c>
      <c r="AL20" t="s">
        <v>843</v>
      </c>
    </row>
    <row r="21" spans="1:38" ht="13.5" customHeight="1">
      <c r="A21" s="1" t="s">
        <v>0</v>
      </c>
      <c r="B21" s="1" t="s">
        <v>47</v>
      </c>
      <c r="C21" s="1"/>
      <c r="D21" s="1"/>
      <c r="E21" s="72">
        <v>11030</v>
      </c>
      <c r="F21" s="71" t="s">
        <v>373</v>
      </c>
      <c r="G21" t="str">
        <f t="shared" si="3"/>
        <v>1119,1114</v>
      </c>
      <c r="H21" t="str">
        <f t="shared" si="4"/>
        <v>head_sunwukong,head_lulidaxian</v>
      </c>
      <c r="J21">
        <f>IFERROR(VLOOKUP(A21,Sheet2!$A$1:$B$114,2,FALSE),"")</f>
        <v>1119</v>
      </c>
      <c r="K21">
        <f>IFERROR(VLOOKUP(B21,Sheet2!$A$1:$B$114,2,FALSE),"")</f>
        <v>1114</v>
      </c>
      <c r="L21" t="str">
        <f>IFERROR(VLOOKUP(C21,Sheet2!$A$1:$B$114,2,FALSE),"")</f>
        <v/>
      </c>
      <c r="M21" t="str">
        <f>IFERROR(VLOOKUP(D21,Sheet2!$A$1:$B$114,2,FALSE),"")</f>
        <v/>
      </c>
      <c r="N21" t="str">
        <f>IFERROR(VLOOKUP(A21,Sheet2!$A$1:$C$114,3,FALSE),"")</f>
        <v>head_sunwukong</v>
      </c>
      <c r="O21" t="str">
        <f>IFERROR(VLOOKUP(B21,Sheet2!$A$1:$C$114,3,FALSE),"")</f>
        <v>head_lulidaxian</v>
      </c>
      <c r="P21" t="str">
        <f>IFERROR(VLOOKUP(C21,Sheet2!$A$1:$C$114,3,FALSE),"")</f>
        <v/>
      </c>
      <c r="Q21" t="str">
        <f>IFERROR(VLOOKUP(D21,Sheet2!$A$1:$C$114,3,FALSE),"")</f>
        <v/>
      </c>
      <c r="S21" t="str">
        <f>VLOOKUP($E21,[1]Sheet1!$A:$J,10,0)</f>
        <v>攻击+16%</v>
      </c>
      <c r="U21" s="129" t="s">
        <v>863</v>
      </c>
      <c r="V21" s="129">
        <f t="shared" si="5"/>
        <v>0.4</v>
      </c>
      <c r="W21" s="129">
        <f t="shared" si="6"/>
        <v>0.36</v>
      </c>
      <c r="X21" s="129">
        <f t="shared" si="7"/>
        <v>0.36</v>
      </c>
      <c r="Y21" s="133">
        <f t="shared" si="8"/>
        <v>1.1200000000000001</v>
      </c>
      <c r="AA21" s="1" t="s">
        <v>791</v>
      </c>
      <c r="AB21" s="1" t="s">
        <v>795</v>
      </c>
      <c r="AC21" s="1"/>
      <c r="AD21" s="1"/>
      <c r="AE21" s="130" t="s">
        <v>847</v>
      </c>
      <c r="AG21">
        <f t="shared" si="2"/>
        <v>0</v>
      </c>
      <c r="AH21" t="str">
        <f t="shared" si="2"/>
        <v>16%</v>
      </c>
      <c r="AI21">
        <f t="shared" si="2"/>
        <v>0</v>
      </c>
      <c r="AL21" t="s">
        <v>841</v>
      </c>
    </row>
    <row r="22" spans="1:38" ht="13.5" customHeight="1">
      <c r="A22" s="1" t="s">
        <v>3</v>
      </c>
      <c r="B22" s="1" t="s">
        <v>47</v>
      </c>
      <c r="C22" s="1"/>
      <c r="D22" s="1"/>
      <c r="E22" s="72">
        <v>11031</v>
      </c>
      <c r="F22" s="71" t="s">
        <v>374</v>
      </c>
      <c r="G22" t="str">
        <f t="shared" si="3"/>
        <v>1112,1114</v>
      </c>
      <c r="H22" t="str">
        <f t="shared" si="4"/>
        <v>head_niumowang,head_lulidaxian</v>
      </c>
      <c r="J22">
        <f>IFERROR(VLOOKUP(A22,Sheet2!$A$1:$B$114,2,FALSE),"")</f>
        <v>1112</v>
      </c>
      <c r="K22">
        <f>IFERROR(VLOOKUP(B22,Sheet2!$A$1:$B$114,2,FALSE),"")</f>
        <v>1114</v>
      </c>
      <c r="L22" t="str">
        <f>IFERROR(VLOOKUP(C22,Sheet2!$A$1:$B$114,2,FALSE),"")</f>
        <v/>
      </c>
      <c r="M22" t="str">
        <f>IFERROR(VLOOKUP(D22,Sheet2!$A$1:$B$114,2,FALSE),"")</f>
        <v/>
      </c>
      <c r="N22" t="str">
        <f>IFERROR(VLOOKUP(A22,Sheet2!$A$1:$C$114,3,FALSE),"")</f>
        <v>head_niumowang</v>
      </c>
      <c r="O22" t="str">
        <f>IFERROR(VLOOKUP(B22,Sheet2!$A$1:$C$114,3,FALSE),"")</f>
        <v>head_lulidaxian</v>
      </c>
      <c r="P22" t="str">
        <f>IFERROR(VLOOKUP(C22,Sheet2!$A$1:$C$114,3,FALSE),"")</f>
        <v/>
      </c>
      <c r="Q22" t="str">
        <f>IFERROR(VLOOKUP(D22,Sheet2!$A$1:$C$114,3,FALSE),"")</f>
        <v/>
      </c>
      <c r="S22" t="str">
        <f>VLOOKUP($E22,[1]Sheet1!$A:$J,10,0)</f>
        <v>生命+16%</v>
      </c>
      <c r="AA22" s="1" t="s">
        <v>4</v>
      </c>
      <c r="AB22" s="1" t="s">
        <v>795</v>
      </c>
      <c r="AC22" s="1"/>
      <c r="AD22" s="1"/>
      <c r="AE22" s="130" t="s">
        <v>848</v>
      </c>
      <c r="AG22" t="str">
        <f t="shared" ref="AG22:AI44" si="9">IF(ISERROR(FIND(AG$1,$AE22)),0,RIGHT($AE22,3))</f>
        <v>16%</v>
      </c>
      <c r="AH22">
        <f t="shared" si="9"/>
        <v>0</v>
      </c>
      <c r="AI22">
        <f t="shared" si="9"/>
        <v>0</v>
      </c>
      <c r="AL22" t="s">
        <v>848</v>
      </c>
    </row>
    <row r="23" spans="1:38" ht="13.5" customHeight="1">
      <c r="A23" s="1" t="s">
        <v>46</v>
      </c>
      <c r="B23" s="1" t="s">
        <v>16</v>
      </c>
      <c r="C23" s="1"/>
      <c r="D23" s="1"/>
      <c r="E23" s="72">
        <v>11032</v>
      </c>
      <c r="F23" s="71" t="s">
        <v>375</v>
      </c>
      <c r="G23" t="str">
        <f t="shared" si="3"/>
        <v>1124,1131</v>
      </c>
      <c r="H23" t="str">
        <f t="shared" si="4"/>
        <v>head_shaheshang,head_xiezijing</v>
      </c>
      <c r="J23">
        <f>IFERROR(VLOOKUP(A23,Sheet2!$A$1:$B$114,2,FALSE),"")</f>
        <v>1124</v>
      </c>
      <c r="K23">
        <f>IFERROR(VLOOKUP(B23,Sheet2!$A$1:$B$114,2,FALSE),"")</f>
        <v>1131</v>
      </c>
      <c r="L23" t="str">
        <f>IFERROR(VLOOKUP(C23,Sheet2!$A$1:$B$114,2,FALSE),"")</f>
        <v/>
      </c>
      <c r="M23" t="str">
        <f>IFERROR(VLOOKUP(D23,Sheet2!$A$1:$B$114,2,FALSE),"")</f>
        <v/>
      </c>
      <c r="N23" t="str">
        <f>IFERROR(VLOOKUP(A23,Sheet2!$A$1:$C$114,3,FALSE),"")</f>
        <v>head_shaheshang</v>
      </c>
      <c r="O23" t="str">
        <f>IFERROR(VLOOKUP(B23,Sheet2!$A$1:$C$114,3,FALSE),"")</f>
        <v>head_xiezijing</v>
      </c>
      <c r="P23" t="str">
        <f>IFERROR(VLOOKUP(C23,Sheet2!$A$1:$C$114,3,FALSE),"")</f>
        <v/>
      </c>
      <c r="Q23" t="str">
        <f>IFERROR(VLOOKUP(D23,Sheet2!$A$1:$C$114,3,FALSE),"")</f>
        <v/>
      </c>
      <c r="S23" t="str">
        <f>VLOOKUP($E23,[1]Sheet1!$A:$J,10,0)</f>
        <v>防御+16%</v>
      </c>
      <c r="AA23" s="1" t="s">
        <v>95</v>
      </c>
      <c r="AB23" s="1" t="s">
        <v>796</v>
      </c>
      <c r="AC23" s="1"/>
      <c r="AD23" s="1"/>
      <c r="AE23" s="130" t="s">
        <v>849</v>
      </c>
      <c r="AG23">
        <f t="shared" si="9"/>
        <v>0</v>
      </c>
      <c r="AH23">
        <f t="shared" si="9"/>
        <v>0</v>
      </c>
      <c r="AI23" t="str">
        <f t="shared" si="9"/>
        <v>16%</v>
      </c>
      <c r="AL23" t="s">
        <v>843</v>
      </c>
    </row>
    <row r="24" spans="1:38" ht="13.5" customHeight="1">
      <c r="A24" s="1" t="s">
        <v>168</v>
      </c>
      <c r="B24" s="1" t="s">
        <v>16</v>
      </c>
      <c r="C24" s="1"/>
      <c r="D24" s="1"/>
      <c r="E24" s="72">
        <v>11033</v>
      </c>
      <c r="F24" s="71" t="s">
        <v>376</v>
      </c>
      <c r="G24" t="str">
        <f t="shared" si="3"/>
        <v>1111,1131</v>
      </c>
      <c r="H24" t="str">
        <f t="shared" si="4"/>
        <v>head_tieshangongzhu,head_xiezijing</v>
      </c>
      <c r="J24">
        <f>IFERROR(VLOOKUP(A24,Sheet2!$A$1:$B$114,2,FALSE),"")</f>
        <v>1111</v>
      </c>
      <c r="K24">
        <f>IFERROR(VLOOKUP(B24,Sheet2!$A$1:$B$114,2,FALSE),"")</f>
        <v>1131</v>
      </c>
      <c r="L24" t="str">
        <f>IFERROR(VLOOKUP(C24,Sheet2!$A$1:$B$114,2,FALSE),"")</f>
        <v/>
      </c>
      <c r="M24" t="str">
        <f>IFERROR(VLOOKUP(D24,Sheet2!$A$1:$B$114,2,FALSE),"")</f>
        <v/>
      </c>
      <c r="N24" t="str">
        <f>IFERROR(VLOOKUP(A24,Sheet2!$A$1:$C$114,3,FALSE),"")</f>
        <v>head_tieshangongzhu</v>
      </c>
      <c r="O24" t="str">
        <f>IFERROR(VLOOKUP(B24,Sheet2!$A$1:$C$114,3,FALSE),"")</f>
        <v>head_xiezijing</v>
      </c>
      <c r="P24" t="str">
        <f>IFERROR(VLOOKUP(C24,Sheet2!$A$1:$C$114,3,FALSE),"")</f>
        <v/>
      </c>
      <c r="Q24" t="str">
        <f>IFERROR(VLOOKUP(D24,Sheet2!$A$1:$C$114,3,FALSE),"")</f>
        <v/>
      </c>
      <c r="S24" t="str">
        <f>VLOOKUP($E24,[1]Sheet1!$A:$J,10,0)</f>
        <v>攻击+16%</v>
      </c>
      <c r="V24" t="s">
        <v>871</v>
      </c>
      <c r="AA24" s="1" t="s">
        <v>789</v>
      </c>
      <c r="AB24" s="1" t="s">
        <v>796</v>
      </c>
      <c r="AC24" s="1"/>
      <c r="AD24" s="1"/>
      <c r="AE24" s="130" t="s">
        <v>847</v>
      </c>
      <c r="AG24">
        <f t="shared" si="9"/>
        <v>0</v>
      </c>
      <c r="AH24" t="str">
        <f t="shared" si="9"/>
        <v>16%</v>
      </c>
      <c r="AI24">
        <f t="shared" si="9"/>
        <v>0</v>
      </c>
      <c r="AL24" t="s">
        <v>847</v>
      </c>
    </row>
    <row r="25" spans="1:38" ht="13.5" customHeight="1">
      <c r="A25" s="1" t="s">
        <v>0</v>
      </c>
      <c r="B25" s="1" t="s">
        <v>27</v>
      </c>
      <c r="C25" s="1"/>
      <c r="D25" s="1"/>
      <c r="E25" s="72">
        <v>11034</v>
      </c>
      <c r="F25" s="71" t="s">
        <v>377</v>
      </c>
      <c r="G25" t="str">
        <f t="shared" si="3"/>
        <v>1119,1137</v>
      </c>
      <c r="H25" t="str">
        <f t="shared" si="4"/>
        <v>head_sunwukong,head_zhizhujing</v>
      </c>
      <c r="J25">
        <f>IFERROR(VLOOKUP(A25,Sheet2!$A$1:$B$114,2,FALSE),"")</f>
        <v>1119</v>
      </c>
      <c r="K25">
        <f>IFERROR(VLOOKUP(B25,Sheet2!$A$1:$B$114,2,FALSE),"")</f>
        <v>1137</v>
      </c>
      <c r="L25" t="str">
        <f>IFERROR(VLOOKUP(C25,Sheet2!$A$1:$B$114,2,FALSE),"")</f>
        <v/>
      </c>
      <c r="M25" t="str">
        <f>IFERROR(VLOOKUP(D25,Sheet2!$A$1:$B$114,2,FALSE),"")</f>
        <v/>
      </c>
      <c r="N25" t="str">
        <f>IFERROR(VLOOKUP(A25,Sheet2!$A$1:$C$114,3,FALSE),"")</f>
        <v>head_sunwukong</v>
      </c>
      <c r="O25" t="str">
        <f>IFERROR(VLOOKUP(B25,Sheet2!$A$1:$C$114,3,FALSE),"")</f>
        <v>head_zhizhujing</v>
      </c>
      <c r="P25" t="str">
        <f>IFERROR(VLOOKUP(C25,Sheet2!$A$1:$C$114,3,FALSE),"")</f>
        <v/>
      </c>
      <c r="Q25" t="str">
        <f>IFERROR(VLOOKUP(D25,Sheet2!$A$1:$C$114,3,FALSE),"")</f>
        <v/>
      </c>
      <c r="S25" t="str">
        <f>VLOOKUP($E25,[1]Sheet1!$A:$J,10,0)</f>
        <v>防御+16%</v>
      </c>
      <c r="AA25" s="1" t="s">
        <v>791</v>
      </c>
      <c r="AB25" s="1" t="s">
        <v>797</v>
      </c>
      <c r="AC25" s="1"/>
      <c r="AD25" s="1"/>
      <c r="AE25" s="130" t="s">
        <v>849</v>
      </c>
      <c r="AG25">
        <f t="shared" si="9"/>
        <v>0</v>
      </c>
      <c r="AH25">
        <f t="shared" si="9"/>
        <v>0</v>
      </c>
      <c r="AI25" t="str">
        <f t="shared" si="9"/>
        <v>16%</v>
      </c>
      <c r="AL25" t="s">
        <v>843</v>
      </c>
    </row>
    <row r="26" spans="1:38" ht="13.5" customHeight="1">
      <c r="A26" s="1" t="s">
        <v>3</v>
      </c>
      <c r="B26" s="1" t="s">
        <v>27</v>
      </c>
      <c r="C26" s="1"/>
      <c r="D26" s="1"/>
      <c r="E26" s="72">
        <v>11035</v>
      </c>
      <c r="F26" s="71" t="s">
        <v>378</v>
      </c>
      <c r="G26" t="str">
        <f t="shared" si="3"/>
        <v>1112,1137</v>
      </c>
      <c r="H26" t="str">
        <f t="shared" si="4"/>
        <v>head_niumowang,head_zhizhujing</v>
      </c>
      <c r="J26">
        <f>IFERROR(VLOOKUP(A26,Sheet2!$A$1:$B$114,2,FALSE),"")</f>
        <v>1112</v>
      </c>
      <c r="K26">
        <f>IFERROR(VLOOKUP(B26,Sheet2!$A$1:$B$114,2,FALSE),"")</f>
        <v>1137</v>
      </c>
      <c r="L26" t="str">
        <f>IFERROR(VLOOKUP(C26,Sheet2!$A$1:$B$114,2,FALSE),"")</f>
        <v/>
      </c>
      <c r="M26" t="str">
        <f>IFERROR(VLOOKUP(D26,Sheet2!$A$1:$B$114,2,FALSE),"")</f>
        <v/>
      </c>
      <c r="N26" t="str">
        <f>IFERROR(VLOOKUP(A26,Sheet2!$A$1:$C$114,3,FALSE),"")</f>
        <v>head_niumowang</v>
      </c>
      <c r="O26" t="str">
        <f>IFERROR(VLOOKUP(B26,Sheet2!$A$1:$C$114,3,FALSE),"")</f>
        <v>head_zhizhujing</v>
      </c>
      <c r="P26" t="str">
        <f>IFERROR(VLOOKUP(C26,Sheet2!$A$1:$C$114,3,FALSE),"")</f>
        <v/>
      </c>
      <c r="Q26" t="str">
        <f>IFERROR(VLOOKUP(D26,Sheet2!$A$1:$C$114,3,FALSE),"")</f>
        <v/>
      </c>
      <c r="S26" t="str">
        <f>VLOOKUP($E26,[1]Sheet1!$A:$J,10,0)</f>
        <v>攻击+16%</v>
      </c>
      <c r="AA26" s="1" t="s">
        <v>4</v>
      </c>
      <c r="AB26" s="1" t="s">
        <v>797</v>
      </c>
      <c r="AC26" s="1"/>
      <c r="AD26" s="1"/>
      <c r="AE26" s="130" t="s">
        <v>847</v>
      </c>
      <c r="AG26">
        <f t="shared" si="9"/>
        <v>0</v>
      </c>
      <c r="AH26" t="str">
        <f t="shared" si="9"/>
        <v>16%</v>
      </c>
      <c r="AI26">
        <f t="shared" si="9"/>
        <v>0</v>
      </c>
      <c r="AL26" t="s">
        <v>847</v>
      </c>
    </row>
    <row r="27" spans="1:38" ht="13.5" customHeight="1">
      <c r="A27" s="1" t="s">
        <v>46</v>
      </c>
      <c r="B27" s="1" t="s">
        <v>170</v>
      </c>
      <c r="C27" s="1"/>
      <c r="D27" s="1"/>
      <c r="E27" s="72">
        <v>11036</v>
      </c>
      <c r="F27" s="71" t="s">
        <v>379</v>
      </c>
      <c r="G27" t="str">
        <f t="shared" si="3"/>
        <v>1124,1208</v>
      </c>
      <c r="H27" t="str">
        <f t="shared" si="4"/>
        <v>head_shaheshang,head_caidiexiantong</v>
      </c>
      <c r="J27">
        <f>IFERROR(VLOOKUP(A27,Sheet2!$A$1:$B$114,2,FALSE),"")</f>
        <v>1124</v>
      </c>
      <c r="K27">
        <f>IFERROR(VLOOKUP(B27,Sheet2!$A$1:$B$114,2,FALSE),"")</f>
        <v>1208</v>
      </c>
      <c r="L27" t="str">
        <f>IFERROR(VLOOKUP(C27,Sheet2!$A$1:$B$114,2,FALSE),"")</f>
        <v/>
      </c>
      <c r="M27" t="str">
        <f>IFERROR(VLOOKUP(D27,Sheet2!$A$1:$B$114,2,FALSE),"")</f>
        <v/>
      </c>
      <c r="N27" t="str">
        <f>IFERROR(VLOOKUP(A27,Sheet2!$A$1:$C$114,3,FALSE),"")</f>
        <v>head_shaheshang</v>
      </c>
      <c r="O27" t="str">
        <f>IFERROR(VLOOKUP(B27,Sheet2!$A$1:$C$114,3,FALSE),"")</f>
        <v>head_caidiexiantong</v>
      </c>
      <c r="P27" t="str">
        <f>IFERROR(VLOOKUP(C27,Sheet2!$A$1:$C$114,3,FALSE),"")</f>
        <v/>
      </c>
      <c r="Q27" t="str">
        <f>IFERROR(VLOOKUP(D27,Sheet2!$A$1:$C$114,3,FALSE),"")</f>
        <v/>
      </c>
      <c r="S27" t="str">
        <f>VLOOKUP($E27,[1]Sheet1!$A:$J,10,0)</f>
        <v>攻击+16%</v>
      </c>
      <c r="AA27" s="1" t="s">
        <v>95</v>
      </c>
      <c r="AB27" s="1" t="s">
        <v>794</v>
      </c>
      <c r="AC27" s="1"/>
      <c r="AD27" s="1"/>
      <c r="AE27" s="130" t="s">
        <v>847</v>
      </c>
      <c r="AG27">
        <f t="shared" si="9"/>
        <v>0</v>
      </c>
      <c r="AH27" t="str">
        <f t="shared" si="9"/>
        <v>16%</v>
      </c>
      <c r="AI27">
        <f t="shared" si="9"/>
        <v>0</v>
      </c>
      <c r="AL27" t="s">
        <v>841</v>
      </c>
    </row>
    <row r="28" spans="1:38" ht="13.5" customHeight="1">
      <c r="A28" s="1" t="s">
        <v>168</v>
      </c>
      <c r="B28" s="1" t="s">
        <v>170</v>
      </c>
      <c r="C28" s="1"/>
      <c r="D28" s="1"/>
      <c r="E28" s="72">
        <v>11037</v>
      </c>
      <c r="F28" s="71" t="s">
        <v>380</v>
      </c>
      <c r="G28" t="str">
        <f t="shared" si="3"/>
        <v>1111,1208</v>
      </c>
      <c r="H28" t="str">
        <f t="shared" si="4"/>
        <v>head_tieshangongzhu,head_caidiexiantong</v>
      </c>
      <c r="J28">
        <f>IFERROR(VLOOKUP(A28,Sheet2!$A$1:$B$114,2,FALSE),"")</f>
        <v>1111</v>
      </c>
      <c r="K28">
        <f>IFERROR(VLOOKUP(B28,Sheet2!$A$1:$B$114,2,FALSE),"")</f>
        <v>1208</v>
      </c>
      <c r="L28" t="str">
        <f>IFERROR(VLOOKUP(C28,Sheet2!$A$1:$B$114,2,FALSE),"")</f>
        <v/>
      </c>
      <c r="M28" t="str">
        <f>IFERROR(VLOOKUP(D28,Sheet2!$A$1:$B$114,2,FALSE),"")</f>
        <v/>
      </c>
      <c r="N28" t="str">
        <f>IFERROR(VLOOKUP(A28,Sheet2!$A$1:$C$114,3,FALSE),"")</f>
        <v>head_tieshangongzhu</v>
      </c>
      <c r="O28" t="str">
        <f>IFERROR(VLOOKUP(B28,Sheet2!$A$1:$C$114,3,FALSE),"")</f>
        <v>head_caidiexiantong</v>
      </c>
      <c r="P28" t="str">
        <f>IFERROR(VLOOKUP(C28,Sheet2!$A$1:$C$114,3,FALSE),"")</f>
        <v/>
      </c>
      <c r="Q28" t="str">
        <f>IFERROR(VLOOKUP(D28,Sheet2!$A$1:$C$114,3,FALSE),"")</f>
        <v/>
      </c>
      <c r="S28" t="str">
        <f>VLOOKUP($E28,[1]Sheet1!$A:$J,10,0)</f>
        <v>生命+16%</v>
      </c>
      <c r="AA28" s="1" t="s">
        <v>789</v>
      </c>
      <c r="AB28" s="1" t="s">
        <v>794</v>
      </c>
      <c r="AC28" s="1"/>
      <c r="AD28" s="1"/>
      <c r="AE28" s="130" t="s">
        <v>848</v>
      </c>
      <c r="AG28" t="str">
        <f t="shared" si="9"/>
        <v>16%</v>
      </c>
      <c r="AH28">
        <f t="shared" si="9"/>
        <v>0</v>
      </c>
      <c r="AI28">
        <f t="shared" si="9"/>
        <v>0</v>
      </c>
      <c r="AL28" t="s">
        <v>848</v>
      </c>
    </row>
    <row r="29" spans="1:38" ht="13.5" customHeight="1">
      <c r="A29" s="1" t="s">
        <v>0</v>
      </c>
      <c r="B29" s="1" t="s">
        <v>23</v>
      </c>
      <c r="C29" s="1"/>
      <c r="D29" s="1"/>
      <c r="E29" s="72">
        <v>11038</v>
      </c>
      <c r="F29" s="71" t="s">
        <v>381</v>
      </c>
      <c r="G29" t="str">
        <f t="shared" si="3"/>
        <v>1119,1117</v>
      </c>
      <c r="H29" t="str">
        <f t="shared" si="4"/>
        <v>head_sunwukong,head_liuermihou</v>
      </c>
      <c r="J29">
        <f>IFERROR(VLOOKUP(A29,Sheet2!$A$1:$B$114,2,FALSE),"")</f>
        <v>1119</v>
      </c>
      <c r="K29">
        <f>IFERROR(VLOOKUP(B29,Sheet2!$A$1:$B$114,2,FALSE),"")</f>
        <v>1117</v>
      </c>
      <c r="L29" t="str">
        <f>IFERROR(VLOOKUP(C29,Sheet2!$A$1:$B$114,2,FALSE),"")</f>
        <v/>
      </c>
      <c r="M29" t="str">
        <f>IFERROR(VLOOKUP(D29,Sheet2!$A$1:$B$114,2,FALSE),"")</f>
        <v/>
      </c>
      <c r="N29" t="str">
        <f>IFERROR(VLOOKUP(A29,Sheet2!$A$1:$C$114,3,FALSE),"")</f>
        <v>head_sunwukong</v>
      </c>
      <c r="O29" t="str">
        <f>IFERROR(VLOOKUP(B29,Sheet2!$A$1:$C$114,3,FALSE),"")</f>
        <v>head_liuermihou</v>
      </c>
      <c r="P29" t="str">
        <f>IFERROR(VLOOKUP(C29,Sheet2!$A$1:$C$114,3,FALSE),"")</f>
        <v/>
      </c>
      <c r="Q29" t="str">
        <f>IFERROR(VLOOKUP(D29,Sheet2!$A$1:$C$114,3,FALSE),"")</f>
        <v/>
      </c>
      <c r="S29" t="str">
        <f>VLOOKUP($E29,[1]Sheet1!$A:$J,10,0)</f>
        <v>生命+16%</v>
      </c>
      <c r="AA29" s="1" t="s">
        <v>791</v>
      </c>
      <c r="AB29" s="1" t="s">
        <v>792</v>
      </c>
      <c r="AC29" s="1"/>
      <c r="AD29" s="1"/>
      <c r="AE29" s="130" t="s">
        <v>848</v>
      </c>
      <c r="AG29" t="str">
        <f t="shared" si="9"/>
        <v>16%</v>
      </c>
      <c r="AH29">
        <f t="shared" si="9"/>
        <v>0</v>
      </c>
      <c r="AI29">
        <f t="shared" si="9"/>
        <v>0</v>
      </c>
      <c r="AL29" t="s">
        <v>848</v>
      </c>
    </row>
    <row r="30" spans="1:38" ht="13.5" customHeight="1">
      <c r="A30" s="1" t="s">
        <v>46</v>
      </c>
      <c r="B30" s="1" t="s">
        <v>169</v>
      </c>
      <c r="C30" s="1"/>
      <c r="D30" s="1"/>
      <c r="E30" s="72">
        <v>11039</v>
      </c>
      <c r="F30" s="71" t="s">
        <v>382</v>
      </c>
      <c r="G30" t="str">
        <f t="shared" si="3"/>
        <v>1124,1132</v>
      </c>
      <c r="H30" t="str">
        <f t="shared" si="4"/>
        <v>head_shaheshang,head_hunshimowang</v>
      </c>
      <c r="J30">
        <f>IFERROR(VLOOKUP(A30,Sheet2!$A$1:$B$114,2,FALSE),"")</f>
        <v>1124</v>
      </c>
      <c r="K30">
        <f>IFERROR(VLOOKUP(B30,Sheet2!$A$1:$B$114,2,FALSE),"")</f>
        <v>1132</v>
      </c>
      <c r="L30" t="str">
        <f>IFERROR(VLOOKUP(C30,Sheet2!$A$1:$B$114,2,FALSE),"")</f>
        <v/>
      </c>
      <c r="M30" t="str">
        <f>IFERROR(VLOOKUP(D30,Sheet2!$A$1:$B$114,2,FALSE),"")</f>
        <v/>
      </c>
      <c r="N30" t="str">
        <f>IFERROR(VLOOKUP(A30,Sheet2!$A$1:$C$114,3,FALSE),"")</f>
        <v>head_shaheshang</v>
      </c>
      <c r="O30" t="str">
        <f>IFERROR(VLOOKUP(B30,Sheet2!$A$1:$C$114,3,FALSE),"")</f>
        <v>head_hunshimowang</v>
      </c>
      <c r="P30" t="str">
        <f>IFERROR(VLOOKUP(C30,Sheet2!$A$1:$C$114,3,FALSE),"")</f>
        <v/>
      </c>
      <c r="Q30" t="str">
        <f>IFERROR(VLOOKUP(D30,Sheet2!$A$1:$C$114,3,FALSE),"")</f>
        <v/>
      </c>
      <c r="S30" t="str">
        <f>VLOOKUP($E30,[1]Sheet1!$A:$J,10,0)</f>
        <v>生命+16%</v>
      </c>
      <c r="AA30" s="1" t="s">
        <v>95</v>
      </c>
      <c r="AB30" s="1" t="s">
        <v>793</v>
      </c>
      <c r="AC30" s="1"/>
      <c r="AD30" s="1"/>
      <c r="AE30" s="130" t="s">
        <v>848</v>
      </c>
      <c r="AG30" t="str">
        <f t="shared" si="9"/>
        <v>16%</v>
      </c>
      <c r="AH30">
        <f t="shared" si="9"/>
        <v>0</v>
      </c>
      <c r="AI30">
        <f t="shared" si="9"/>
        <v>0</v>
      </c>
      <c r="AL30" t="s">
        <v>848</v>
      </c>
    </row>
    <row r="31" spans="1:38" ht="13.5" customHeight="1">
      <c r="A31" s="1" t="s">
        <v>3</v>
      </c>
      <c r="B31" s="1" t="s">
        <v>170</v>
      </c>
      <c r="C31" s="1"/>
      <c r="D31" s="1"/>
      <c r="E31" s="72">
        <v>11040</v>
      </c>
      <c r="F31" s="71" t="s">
        <v>824</v>
      </c>
      <c r="G31" t="str">
        <f t="shared" si="3"/>
        <v>1112,1208</v>
      </c>
      <c r="H31" t="str">
        <f t="shared" si="4"/>
        <v>head_niumowang,head_caidiexiantong</v>
      </c>
      <c r="J31">
        <f>IFERROR(VLOOKUP(A31,Sheet2!$A$1:$B$114,2,FALSE),"")</f>
        <v>1112</v>
      </c>
      <c r="K31">
        <f>IFERROR(VLOOKUP(B31,Sheet2!$A$1:$B$114,2,FALSE),"")</f>
        <v>1208</v>
      </c>
      <c r="L31" t="str">
        <f>IFERROR(VLOOKUP(C31,Sheet2!$A$1:$B$114,2,FALSE),"")</f>
        <v/>
      </c>
      <c r="M31" t="str">
        <f>IFERROR(VLOOKUP(D31,Sheet2!$A$1:$B$114,2,FALSE),"")</f>
        <v/>
      </c>
      <c r="N31" t="str">
        <f>IFERROR(VLOOKUP(A31,Sheet2!$A$1:$C$114,3,FALSE),"")</f>
        <v>head_niumowang</v>
      </c>
      <c r="O31" t="str">
        <f>IFERROR(VLOOKUP(B31,Sheet2!$A$1:$C$114,3,FALSE),"")</f>
        <v>head_caidiexiantong</v>
      </c>
      <c r="P31" t="str">
        <f>IFERROR(VLOOKUP(C31,Sheet2!$A$1:$C$114,3,FALSE),"")</f>
        <v/>
      </c>
      <c r="Q31" t="str">
        <f>IFERROR(VLOOKUP(D31,Sheet2!$A$1:$C$114,3,FALSE),"")</f>
        <v/>
      </c>
      <c r="S31" t="str">
        <f>VLOOKUP($E31,[1]Sheet1!$A:$J,10,0)</f>
        <v>防御+16%</v>
      </c>
      <c r="AA31" s="1" t="s">
        <v>4</v>
      </c>
      <c r="AB31" s="1" t="s">
        <v>794</v>
      </c>
      <c r="AC31" s="1"/>
      <c r="AD31" s="1"/>
      <c r="AE31" s="130" t="s">
        <v>849</v>
      </c>
      <c r="AG31">
        <f t="shared" si="9"/>
        <v>0</v>
      </c>
      <c r="AH31">
        <f t="shared" si="9"/>
        <v>0</v>
      </c>
      <c r="AI31" t="str">
        <f t="shared" si="9"/>
        <v>16%</v>
      </c>
      <c r="AL31" t="s">
        <v>849</v>
      </c>
    </row>
    <row r="32" spans="1:38" ht="13.5" customHeight="1">
      <c r="A32" s="1" t="s">
        <v>168</v>
      </c>
      <c r="B32" s="1" t="s">
        <v>47</v>
      </c>
      <c r="C32" s="1"/>
      <c r="D32" s="1"/>
      <c r="E32" s="72">
        <v>11041</v>
      </c>
      <c r="F32" s="71" t="s">
        <v>828</v>
      </c>
      <c r="G32" t="str">
        <f t="shared" si="3"/>
        <v>1111,1114</v>
      </c>
      <c r="H32" t="str">
        <f t="shared" si="4"/>
        <v>head_tieshangongzhu,head_lulidaxian</v>
      </c>
      <c r="J32">
        <f>IFERROR(VLOOKUP(A32,Sheet2!$A$1:$B$114,2,FALSE),"")</f>
        <v>1111</v>
      </c>
      <c r="K32">
        <f>IFERROR(VLOOKUP(B32,Sheet2!$A$1:$B$114,2,FALSE),"")</f>
        <v>1114</v>
      </c>
      <c r="L32" t="str">
        <f>IFERROR(VLOOKUP(C32,Sheet2!$A$1:$B$114,2,FALSE),"")</f>
        <v/>
      </c>
      <c r="M32" t="str">
        <f>IFERROR(VLOOKUP(D32,Sheet2!$A$1:$B$114,2,FALSE),"")</f>
        <v/>
      </c>
      <c r="N32" t="str">
        <f>IFERROR(VLOOKUP(A32,Sheet2!$A$1:$C$114,3,FALSE),"")</f>
        <v>head_tieshangongzhu</v>
      </c>
      <c r="O32" t="str">
        <f>IFERROR(VLOOKUP(B32,Sheet2!$A$1:$C$114,3,FALSE),"")</f>
        <v>head_lulidaxian</v>
      </c>
      <c r="P32" t="str">
        <f>IFERROR(VLOOKUP(C32,Sheet2!$A$1:$C$114,3,FALSE),"")</f>
        <v/>
      </c>
      <c r="Q32" t="str">
        <f>IFERROR(VLOOKUP(D32,Sheet2!$A$1:$C$114,3,FALSE),"")</f>
        <v/>
      </c>
      <c r="S32" t="str">
        <f>VLOOKUP($E32,[1]Sheet1!$A:$J,10,0)</f>
        <v>防御+16%</v>
      </c>
      <c r="AA32" s="1" t="s">
        <v>789</v>
      </c>
      <c r="AB32" s="1" t="s">
        <v>795</v>
      </c>
      <c r="AC32" s="1"/>
      <c r="AD32" s="1"/>
      <c r="AE32" s="130" t="s">
        <v>849</v>
      </c>
      <c r="AG32">
        <f t="shared" si="9"/>
        <v>0</v>
      </c>
      <c r="AH32">
        <f t="shared" si="9"/>
        <v>0</v>
      </c>
      <c r="AI32" t="str">
        <f t="shared" si="9"/>
        <v>16%</v>
      </c>
      <c r="AL32" t="s">
        <v>849</v>
      </c>
    </row>
    <row r="33" spans="1:38" ht="13.5" customHeight="1">
      <c r="A33" s="1" t="s">
        <v>16</v>
      </c>
      <c r="B33" s="1" t="s">
        <v>27</v>
      </c>
      <c r="C33" s="1"/>
      <c r="D33" s="1"/>
      <c r="E33" s="72">
        <v>11042</v>
      </c>
      <c r="F33" s="71" t="s">
        <v>826</v>
      </c>
      <c r="G33" t="str">
        <f t="shared" si="3"/>
        <v>1131,1137</v>
      </c>
      <c r="H33" t="str">
        <f t="shared" si="4"/>
        <v>head_xiezijing,head_zhizhujing</v>
      </c>
      <c r="J33">
        <f>IFERROR(VLOOKUP(A33,Sheet2!$A$1:$B$114,2,FALSE),"")</f>
        <v>1131</v>
      </c>
      <c r="K33">
        <f>IFERROR(VLOOKUP(B33,Sheet2!$A$1:$B$114,2,FALSE),"")</f>
        <v>1137</v>
      </c>
      <c r="L33" t="str">
        <f>IFERROR(VLOOKUP(C33,Sheet2!$A$1:$B$114,2,FALSE),"")</f>
        <v/>
      </c>
      <c r="M33" t="str">
        <f>IFERROR(VLOOKUP(D33,Sheet2!$A$1:$B$114,2,FALSE),"")</f>
        <v/>
      </c>
      <c r="N33" t="str">
        <f>IFERROR(VLOOKUP(A33,Sheet2!$A$1:$C$114,3,FALSE),"")</f>
        <v>head_xiezijing</v>
      </c>
      <c r="O33" t="str">
        <f>IFERROR(VLOOKUP(B33,Sheet2!$A$1:$C$114,3,FALSE),"")</f>
        <v>head_zhizhujing</v>
      </c>
      <c r="P33" t="str">
        <f>IFERROR(VLOOKUP(C33,Sheet2!$A$1:$C$114,3,FALSE),"")</f>
        <v/>
      </c>
      <c r="Q33" t="str">
        <f>IFERROR(VLOOKUP(D33,Sheet2!$A$1:$C$114,3,FALSE),"")</f>
        <v/>
      </c>
      <c r="S33" t="str">
        <f>VLOOKUP($E33,[1]Sheet1!$A:$J,10,0)</f>
        <v>生命+16%</v>
      </c>
      <c r="AA33" s="1" t="s">
        <v>796</v>
      </c>
      <c r="AB33" s="1" t="s">
        <v>797</v>
      </c>
      <c r="AC33" s="1"/>
      <c r="AD33" s="1"/>
      <c r="AE33" s="130" t="s">
        <v>848</v>
      </c>
      <c r="AG33" t="str">
        <f t="shared" si="9"/>
        <v>16%</v>
      </c>
      <c r="AH33">
        <f t="shared" si="9"/>
        <v>0</v>
      </c>
      <c r="AI33">
        <f t="shared" si="9"/>
        <v>0</v>
      </c>
      <c r="AL33" t="s">
        <v>848</v>
      </c>
    </row>
    <row r="34" spans="1:38" ht="13.5" customHeight="1">
      <c r="A34" s="1" t="s">
        <v>45</v>
      </c>
      <c r="B34" s="1" t="s">
        <v>48</v>
      </c>
      <c r="C34" s="1"/>
      <c r="D34" s="1"/>
      <c r="E34" s="72">
        <v>11043</v>
      </c>
      <c r="F34" s="71" t="s">
        <v>826</v>
      </c>
      <c r="G34" t="str">
        <f t="shared" si="3"/>
        <v>1115,1116</v>
      </c>
      <c r="H34" t="str">
        <f t="shared" si="4"/>
        <v>head_yanglidaxian,head_baigufuren</v>
      </c>
      <c r="J34">
        <f>IFERROR(VLOOKUP(A34,Sheet2!$A$1:$B$114,2,FALSE),"")</f>
        <v>1115</v>
      </c>
      <c r="K34">
        <f>IFERROR(VLOOKUP(B34,Sheet2!$A$1:$B$114,2,FALSE),"")</f>
        <v>1116</v>
      </c>
      <c r="L34" t="str">
        <f>IFERROR(VLOOKUP(C34,Sheet2!$A$1:$B$114,2,FALSE),"")</f>
        <v/>
      </c>
      <c r="M34" t="str">
        <f>IFERROR(VLOOKUP(D34,Sheet2!$A$1:$B$114,2,FALSE),"")</f>
        <v/>
      </c>
      <c r="N34" t="str">
        <f>IFERROR(VLOOKUP(A34,Sheet2!$A$1:$C$114,3,FALSE),"")</f>
        <v>head_yanglidaxian</v>
      </c>
      <c r="O34" t="str">
        <f>IFERROR(VLOOKUP(B34,Sheet2!$A$1:$C$114,3,FALSE),"")</f>
        <v>head_baigufuren</v>
      </c>
      <c r="P34" t="str">
        <f>IFERROR(VLOOKUP(C34,Sheet2!$A$1:$C$114,3,FALSE),"")</f>
        <v/>
      </c>
      <c r="Q34" t="str">
        <f>IFERROR(VLOOKUP(D34,Sheet2!$A$1:$C$114,3,FALSE),"")</f>
        <v/>
      </c>
      <c r="S34" t="str">
        <f>VLOOKUP($E34,[1]Sheet1!$A:$J,10,0)</f>
        <v>攻击+20%</v>
      </c>
      <c r="AA34" s="1" t="s">
        <v>153</v>
      </c>
      <c r="AB34" s="1" t="s">
        <v>140</v>
      </c>
      <c r="AC34" s="1"/>
      <c r="AD34" s="1"/>
      <c r="AE34" s="130" t="s">
        <v>867</v>
      </c>
      <c r="AG34">
        <f t="shared" si="9"/>
        <v>0</v>
      </c>
      <c r="AH34" t="str">
        <f t="shared" si="9"/>
        <v>20%</v>
      </c>
      <c r="AI34">
        <f t="shared" si="9"/>
        <v>0</v>
      </c>
      <c r="AL34" t="s">
        <v>843</v>
      </c>
    </row>
    <row r="35" spans="1:38" ht="13.5" customHeight="1">
      <c r="A35" s="1" t="s">
        <v>53</v>
      </c>
      <c r="B35" s="1" t="s">
        <v>54</v>
      </c>
      <c r="C35" s="1" t="s">
        <v>55</v>
      </c>
      <c r="D35" s="1"/>
      <c r="E35" s="72">
        <v>11044</v>
      </c>
      <c r="F35" s="71" t="s">
        <v>383</v>
      </c>
      <c r="G35" t="str">
        <f t="shared" si="3"/>
        <v>1139,1140,1138</v>
      </c>
      <c r="H35" t="str">
        <f t="shared" si="4"/>
        <v>head_jinqianbaowang,head_moyujing,head_yumianfuren</v>
      </c>
      <c r="J35">
        <f>IFERROR(VLOOKUP(A35,Sheet2!$A$1:$B$114,2,FALSE),"")</f>
        <v>1139</v>
      </c>
      <c r="K35">
        <f>IFERROR(VLOOKUP(B35,Sheet2!$A$1:$B$114,2,FALSE),"")</f>
        <v>1140</v>
      </c>
      <c r="L35">
        <f>IFERROR(VLOOKUP(C35,Sheet2!$A$1:$B$114,2,FALSE),"")</f>
        <v>1138</v>
      </c>
      <c r="M35" t="str">
        <f>IFERROR(VLOOKUP(D35,Sheet2!$A$1:$B$114,2,FALSE),"")</f>
        <v/>
      </c>
      <c r="N35" t="str">
        <f>IFERROR(VLOOKUP(A35,Sheet2!$A$1:$C$114,3,FALSE),"")</f>
        <v>head_jinqianbaowang</v>
      </c>
      <c r="O35" t="str">
        <f>IFERROR(VLOOKUP(B35,Sheet2!$A$1:$C$114,3,FALSE),"")</f>
        <v>head_moyujing</v>
      </c>
      <c r="P35" t="str">
        <f>IFERROR(VLOOKUP(C35,Sheet2!$A$1:$C$114,3,FALSE),"")</f>
        <v>head_yumianfuren</v>
      </c>
      <c r="Q35" t="str">
        <f>IFERROR(VLOOKUP(D35,Sheet2!$A$1:$C$114,3,FALSE),"")</f>
        <v/>
      </c>
      <c r="S35" t="str">
        <f>VLOOKUP($E35,[1]Sheet1!$A:$J,10,0)</f>
        <v>生命，攻击+20%</v>
      </c>
      <c r="AA35" s="134" t="s">
        <v>53</v>
      </c>
      <c r="AB35" s="134" t="s">
        <v>54</v>
      </c>
      <c r="AC35" s="1" t="s">
        <v>55</v>
      </c>
      <c r="AE35" s="130" t="s">
        <v>853</v>
      </c>
      <c r="AG35" t="str">
        <f t="shared" si="9"/>
        <v>20%</v>
      </c>
      <c r="AH35" t="str">
        <f t="shared" si="9"/>
        <v>20%</v>
      </c>
      <c r="AI35">
        <f t="shared" si="9"/>
        <v>0</v>
      </c>
      <c r="AL35" t="s">
        <v>853</v>
      </c>
    </row>
    <row r="36" spans="1:38" ht="13.5" customHeight="1">
      <c r="A36" s="1" t="s">
        <v>171</v>
      </c>
      <c r="B36" s="1" t="s">
        <v>157</v>
      </c>
      <c r="C36" s="1" t="s">
        <v>160</v>
      </c>
      <c r="D36" s="1"/>
      <c r="E36" s="72">
        <v>11045</v>
      </c>
      <c r="F36" s="71" t="s">
        <v>384</v>
      </c>
      <c r="G36" t="str">
        <f t="shared" si="3"/>
        <v>1226,1141,1504</v>
      </c>
      <c r="H36" t="str">
        <f t="shared" si="4"/>
        <v>head_shanzijing,head_yutu,head_xiejiang</v>
      </c>
      <c r="J36">
        <f>IFERROR(VLOOKUP(A36,Sheet2!$A$1:$B$114,2,FALSE),"")</f>
        <v>1226</v>
      </c>
      <c r="K36">
        <f>IFERROR(VLOOKUP(B36,Sheet2!$A$1:$B$114,2,FALSE),"")</f>
        <v>1141</v>
      </c>
      <c r="L36">
        <f>IFERROR(VLOOKUP(C36,Sheet2!$A$1:$B$114,2,FALSE),"")</f>
        <v>1504</v>
      </c>
      <c r="M36" t="str">
        <f>IFERROR(VLOOKUP(D36,Sheet2!$A$1:$B$114,2,FALSE),"")</f>
        <v/>
      </c>
      <c r="N36" t="str">
        <f>IFERROR(VLOOKUP(A36,Sheet2!$A$1:$C$114,3,FALSE),"")</f>
        <v>head_shanzijing</v>
      </c>
      <c r="O36" t="str">
        <f>IFERROR(VLOOKUP(B36,Sheet2!$A$1:$C$114,3,FALSE),"")</f>
        <v>head_yutu</v>
      </c>
      <c r="P36" t="str">
        <f>IFERROR(VLOOKUP(C36,Sheet2!$A$1:$C$114,3,FALSE),"")</f>
        <v>head_xiejiang</v>
      </c>
      <c r="Q36" t="str">
        <f>IFERROR(VLOOKUP(D36,Sheet2!$A$1:$C$114,3,FALSE),"")</f>
        <v/>
      </c>
      <c r="S36" t="str">
        <f>VLOOKUP($E36,[1]Sheet1!$A:$J,10,0)</f>
        <v>生命，攻击+20%</v>
      </c>
      <c r="AA36" s="134" t="s">
        <v>171</v>
      </c>
      <c r="AB36" s="134" t="s">
        <v>157</v>
      </c>
      <c r="AC36" s="1" t="s">
        <v>160</v>
      </c>
      <c r="AE36" s="130" t="s">
        <v>853</v>
      </c>
      <c r="AG36" t="str">
        <f t="shared" si="9"/>
        <v>20%</v>
      </c>
      <c r="AH36" t="str">
        <f t="shared" si="9"/>
        <v>20%</v>
      </c>
      <c r="AI36">
        <f t="shared" si="9"/>
        <v>0</v>
      </c>
      <c r="AL36" t="s">
        <v>853</v>
      </c>
    </row>
    <row r="37" spans="1:38" ht="13.5" customHeight="1">
      <c r="A37" s="1" t="s">
        <v>55</v>
      </c>
      <c r="B37" s="1" t="s">
        <v>171</v>
      </c>
      <c r="C37" s="1" t="s">
        <v>157</v>
      </c>
      <c r="D37" s="1"/>
      <c r="E37" s="72">
        <v>11046</v>
      </c>
      <c r="F37" s="71" t="s">
        <v>385</v>
      </c>
      <c r="G37" t="str">
        <f t="shared" si="3"/>
        <v>1138,1226,1141</v>
      </c>
      <c r="H37" t="str">
        <f t="shared" si="4"/>
        <v>head_yumianfuren,head_shanzijing,head_yutu</v>
      </c>
      <c r="J37">
        <f>IFERROR(VLOOKUP(A37,Sheet2!$A$1:$B$114,2,FALSE),"")</f>
        <v>1138</v>
      </c>
      <c r="K37">
        <f>IFERROR(VLOOKUP(B37,Sheet2!$A$1:$B$114,2,FALSE),"")</f>
        <v>1226</v>
      </c>
      <c r="L37">
        <f>IFERROR(VLOOKUP(C37,Sheet2!$A$1:$B$114,2,FALSE),"")</f>
        <v>1141</v>
      </c>
      <c r="M37" t="str">
        <f>IFERROR(VLOOKUP(D37,Sheet2!$A$1:$B$114,2,FALSE),"")</f>
        <v/>
      </c>
      <c r="N37" t="str">
        <f>IFERROR(VLOOKUP(A37,Sheet2!$A$1:$C$114,3,FALSE),"")</f>
        <v>head_yumianfuren</v>
      </c>
      <c r="O37" t="str">
        <f>IFERROR(VLOOKUP(B37,Sheet2!$A$1:$C$114,3,FALSE),"")</f>
        <v>head_shanzijing</v>
      </c>
      <c r="P37" t="str">
        <f>IFERROR(VLOOKUP(C37,Sheet2!$A$1:$C$114,3,FALSE),"")</f>
        <v>head_yutu</v>
      </c>
      <c r="Q37" t="str">
        <f>IFERROR(VLOOKUP(D37,Sheet2!$A$1:$C$114,3,FALSE),"")</f>
        <v/>
      </c>
      <c r="S37" t="str">
        <f>VLOOKUP($E37,[1]Sheet1!$A:$J,10,0)</f>
        <v>生命，防御+20%</v>
      </c>
      <c r="AA37" s="134" t="s">
        <v>55</v>
      </c>
      <c r="AB37" s="134" t="s">
        <v>171</v>
      </c>
      <c r="AC37" s="1" t="s">
        <v>157</v>
      </c>
      <c r="AE37" s="130" t="s">
        <v>868</v>
      </c>
      <c r="AG37" t="str">
        <f t="shared" si="9"/>
        <v>20%</v>
      </c>
      <c r="AH37">
        <f t="shared" si="9"/>
        <v>0</v>
      </c>
      <c r="AI37" t="str">
        <f t="shared" si="9"/>
        <v>20%</v>
      </c>
      <c r="AL37" t="s">
        <v>848</v>
      </c>
    </row>
    <row r="38" spans="1:38" ht="13.5" customHeight="1">
      <c r="A38" s="1" t="s">
        <v>160</v>
      </c>
      <c r="B38" s="1" t="s">
        <v>53</v>
      </c>
      <c r="C38" s="1" t="s">
        <v>54</v>
      </c>
      <c r="D38" s="1"/>
      <c r="E38" s="72">
        <v>11047</v>
      </c>
      <c r="F38" s="71" t="s">
        <v>386</v>
      </c>
      <c r="G38" t="str">
        <f t="shared" si="3"/>
        <v>1504,1139,1140</v>
      </c>
      <c r="H38" t="str">
        <f t="shared" si="4"/>
        <v>head_xiejiang,head_jinqianbaowang,head_moyujing</v>
      </c>
      <c r="J38">
        <f>IFERROR(VLOOKUP(A38,Sheet2!$A$1:$B$114,2,FALSE),"")</f>
        <v>1504</v>
      </c>
      <c r="K38">
        <f>IFERROR(VLOOKUP(B38,Sheet2!$A$1:$B$114,2,FALSE),"")</f>
        <v>1139</v>
      </c>
      <c r="L38">
        <f>IFERROR(VLOOKUP(C38,Sheet2!$A$1:$B$114,2,FALSE),"")</f>
        <v>1140</v>
      </c>
      <c r="M38" t="str">
        <f>IFERROR(VLOOKUP(D38,Sheet2!$A$1:$B$114,2,FALSE),"")</f>
        <v/>
      </c>
      <c r="N38" t="str">
        <f>IFERROR(VLOOKUP(A38,Sheet2!$A$1:$C$114,3,FALSE),"")</f>
        <v>head_xiejiang</v>
      </c>
      <c r="O38" t="str">
        <f>IFERROR(VLOOKUP(B38,Sheet2!$A$1:$C$114,3,FALSE),"")</f>
        <v>head_jinqianbaowang</v>
      </c>
      <c r="P38" t="str">
        <f>IFERROR(VLOOKUP(C38,Sheet2!$A$1:$C$114,3,FALSE),"")</f>
        <v>head_moyujing</v>
      </c>
      <c r="Q38" t="str">
        <f>IFERROR(VLOOKUP(D38,Sheet2!$A$1:$C$114,3,FALSE),"")</f>
        <v/>
      </c>
      <c r="S38" t="str">
        <f>VLOOKUP($E38,[1]Sheet1!$A:$J,10,0)</f>
        <v>生命，防御+20%</v>
      </c>
      <c r="AA38" s="134" t="s">
        <v>160</v>
      </c>
      <c r="AB38" s="134" t="s">
        <v>53</v>
      </c>
      <c r="AC38" s="1" t="s">
        <v>54</v>
      </c>
      <c r="AE38" s="130" t="s">
        <v>868</v>
      </c>
      <c r="AG38" t="str">
        <f t="shared" si="9"/>
        <v>20%</v>
      </c>
      <c r="AH38">
        <f t="shared" si="9"/>
        <v>0</v>
      </c>
      <c r="AI38" t="str">
        <f t="shared" si="9"/>
        <v>20%</v>
      </c>
      <c r="AL38" t="s">
        <v>848</v>
      </c>
    </row>
    <row r="39" spans="1:38" ht="13.5" customHeight="1">
      <c r="A39" s="1" t="s">
        <v>160</v>
      </c>
      <c r="B39" s="1" t="s">
        <v>53</v>
      </c>
      <c r="C39" s="1"/>
      <c r="D39" s="1"/>
      <c r="E39" s="72">
        <v>11048</v>
      </c>
      <c r="F39" s="71" t="s">
        <v>387</v>
      </c>
      <c r="G39" t="str">
        <f t="shared" si="3"/>
        <v>1504,1139</v>
      </c>
      <c r="H39" t="str">
        <f t="shared" si="4"/>
        <v>head_xiejiang,head_jinqianbaowang</v>
      </c>
      <c r="J39">
        <f>IFERROR(VLOOKUP(A39,Sheet2!$A$1:$B$114,2,FALSE),"")</f>
        <v>1504</v>
      </c>
      <c r="K39">
        <f>IFERROR(VLOOKUP(B39,Sheet2!$A$1:$B$114,2,FALSE),"")</f>
        <v>1139</v>
      </c>
      <c r="L39" t="str">
        <f>IFERROR(VLOOKUP(C39,Sheet2!$A$1:$B$114,2,FALSE),"")</f>
        <v/>
      </c>
      <c r="M39" t="str">
        <f>IFERROR(VLOOKUP(D39,Sheet2!$A$1:$B$114,2,FALSE),"")</f>
        <v/>
      </c>
      <c r="N39" t="str">
        <f>IFERROR(VLOOKUP(A39,Sheet2!$A$1:$C$114,3,FALSE),"")</f>
        <v>head_xiejiang</v>
      </c>
      <c r="O39" t="str">
        <f>IFERROR(VLOOKUP(B39,Sheet2!$A$1:$C$114,3,FALSE),"")</f>
        <v>head_jinqianbaowang</v>
      </c>
      <c r="P39" t="str">
        <f>IFERROR(VLOOKUP(C39,Sheet2!$A$1:$C$114,3,FALSE),"")</f>
        <v/>
      </c>
      <c r="Q39" t="str">
        <f>IFERROR(VLOOKUP(D39,Sheet2!$A$1:$C$114,3,FALSE),"")</f>
        <v/>
      </c>
      <c r="S39" t="str">
        <f>VLOOKUP($E39,[1]Sheet1!$A:$J,10,0)</f>
        <v>攻击+16%</v>
      </c>
      <c r="AA39" s="134" t="s">
        <v>160</v>
      </c>
      <c r="AB39" s="134" t="s">
        <v>53</v>
      </c>
      <c r="AC39" s="1"/>
      <c r="AE39" s="130" t="s">
        <v>847</v>
      </c>
      <c r="AG39">
        <f t="shared" si="9"/>
        <v>0</v>
      </c>
      <c r="AH39" t="str">
        <f t="shared" si="9"/>
        <v>16%</v>
      </c>
      <c r="AI39">
        <f t="shared" si="9"/>
        <v>0</v>
      </c>
      <c r="AL39" t="s">
        <v>849</v>
      </c>
    </row>
    <row r="40" spans="1:38" ht="13.5" customHeight="1">
      <c r="A40" s="1" t="s">
        <v>171</v>
      </c>
      <c r="B40" s="1" t="s">
        <v>54</v>
      </c>
      <c r="C40" s="1"/>
      <c r="D40" s="1"/>
      <c r="E40" s="72">
        <v>11049</v>
      </c>
      <c r="F40" s="71" t="s">
        <v>388</v>
      </c>
      <c r="G40" t="str">
        <f t="shared" si="3"/>
        <v>1226,1140</v>
      </c>
      <c r="H40" t="str">
        <f t="shared" si="4"/>
        <v>head_shanzijing,head_moyujing</v>
      </c>
      <c r="J40">
        <f>IFERROR(VLOOKUP(A40,Sheet2!$A$1:$B$114,2,FALSE),"")</f>
        <v>1226</v>
      </c>
      <c r="K40">
        <f>IFERROR(VLOOKUP(B40,Sheet2!$A$1:$B$114,2,FALSE),"")</f>
        <v>1140</v>
      </c>
      <c r="L40" t="str">
        <f>IFERROR(VLOOKUP(C40,Sheet2!$A$1:$B$114,2,FALSE),"")</f>
        <v/>
      </c>
      <c r="M40" t="str">
        <f>IFERROR(VLOOKUP(D40,Sheet2!$A$1:$B$114,2,FALSE),"")</f>
        <v/>
      </c>
      <c r="N40" t="str">
        <f>IFERROR(VLOOKUP(A40,Sheet2!$A$1:$C$114,3,FALSE),"")</f>
        <v>head_shanzijing</v>
      </c>
      <c r="O40" t="str">
        <f>IFERROR(VLOOKUP(B40,Sheet2!$A$1:$C$114,3,FALSE),"")</f>
        <v>head_moyujing</v>
      </c>
      <c r="P40" t="str">
        <f>IFERROR(VLOOKUP(C40,Sheet2!$A$1:$C$114,3,FALSE),"")</f>
        <v/>
      </c>
      <c r="Q40" t="str">
        <f>IFERROR(VLOOKUP(D40,Sheet2!$A$1:$C$114,3,FALSE),"")</f>
        <v/>
      </c>
      <c r="S40" t="str">
        <f>VLOOKUP($E40,[1]Sheet1!$A:$J,10,0)</f>
        <v>攻击+16%</v>
      </c>
      <c r="AA40" s="134" t="s">
        <v>171</v>
      </c>
      <c r="AB40" s="134" t="s">
        <v>54</v>
      </c>
      <c r="AC40" s="1"/>
      <c r="AE40" s="130" t="s">
        <v>847</v>
      </c>
      <c r="AG40">
        <f t="shared" si="9"/>
        <v>0</v>
      </c>
      <c r="AH40" t="str">
        <f t="shared" si="9"/>
        <v>16%</v>
      </c>
      <c r="AI40">
        <f t="shared" si="9"/>
        <v>0</v>
      </c>
      <c r="AL40" t="s">
        <v>849</v>
      </c>
    </row>
    <row r="41" spans="1:38" ht="13.5" customHeight="1">
      <c r="A41" s="1" t="s">
        <v>54</v>
      </c>
      <c r="B41" s="1" t="s">
        <v>160</v>
      </c>
      <c r="C41" s="1"/>
      <c r="D41" s="1"/>
      <c r="E41" s="72">
        <v>11050</v>
      </c>
      <c r="F41" s="71" t="s">
        <v>389</v>
      </c>
      <c r="G41" t="str">
        <f t="shared" si="3"/>
        <v>1140,1504</v>
      </c>
      <c r="H41" t="str">
        <f t="shared" si="4"/>
        <v>head_moyujing,head_xiejiang</v>
      </c>
      <c r="J41">
        <f>IFERROR(VLOOKUP(A41,Sheet2!$A$1:$B$114,2,FALSE),"")</f>
        <v>1140</v>
      </c>
      <c r="K41">
        <f>IFERROR(VLOOKUP(B41,Sheet2!$A$1:$B$114,2,FALSE),"")</f>
        <v>1504</v>
      </c>
      <c r="L41" t="str">
        <f>IFERROR(VLOOKUP(C41,Sheet2!$A$1:$B$114,2,FALSE),"")</f>
        <v/>
      </c>
      <c r="M41" t="str">
        <f>IFERROR(VLOOKUP(D41,Sheet2!$A$1:$B$114,2,FALSE),"")</f>
        <v/>
      </c>
      <c r="N41" t="str">
        <f>IFERROR(VLOOKUP(A41,Sheet2!$A$1:$C$114,3,FALSE),"")</f>
        <v>head_moyujing</v>
      </c>
      <c r="O41" t="str">
        <f>IFERROR(VLOOKUP(B41,Sheet2!$A$1:$C$114,3,FALSE),"")</f>
        <v>head_xiejiang</v>
      </c>
      <c r="P41" t="str">
        <f>IFERROR(VLOOKUP(C41,Sheet2!$A$1:$C$114,3,FALSE),"")</f>
        <v/>
      </c>
      <c r="Q41" t="str">
        <f>IFERROR(VLOOKUP(D41,Sheet2!$A$1:$C$114,3,FALSE),"")</f>
        <v/>
      </c>
      <c r="S41" t="str">
        <f>VLOOKUP($E41,[1]Sheet1!$A:$J,10,0)</f>
        <v>防御+16%</v>
      </c>
      <c r="AA41" s="134" t="s">
        <v>54</v>
      </c>
      <c r="AB41" s="134" t="s">
        <v>160</v>
      </c>
      <c r="AC41" s="1"/>
      <c r="AE41" s="130" t="s">
        <v>873</v>
      </c>
      <c r="AG41">
        <f t="shared" si="9"/>
        <v>0</v>
      </c>
      <c r="AH41">
        <f t="shared" si="9"/>
        <v>0</v>
      </c>
      <c r="AI41" t="str">
        <f t="shared" si="9"/>
        <v>16%</v>
      </c>
      <c r="AL41" t="s">
        <v>849</v>
      </c>
    </row>
    <row r="42" spans="1:38" ht="13.5" customHeight="1">
      <c r="A42" s="1" t="s">
        <v>55</v>
      </c>
      <c r="B42" s="1" t="s">
        <v>157</v>
      </c>
      <c r="C42" s="1"/>
      <c r="D42" s="1"/>
      <c r="E42" s="72">
        <v>11051</v>
      </c>
      <c r="F42" s="71" t="s">
        <v>390</v>
      </c>
      <c r="G42" t="str">
        <f t="shared" si="3"/>
        <v>1138,1141</v>
      </c>
      <c r="H42" t="str">
        <f t="shared" si="4"/>
        <v>head_yumianfuren,head_yutu</v>
      </c>
      <c r="J42">
        <f>IFERROR(VLOOKUP(A42,Sheet2!$A$1:$B$114,2,FALSE),"")</f>
        <v>1138</v>
      </c>
      <c r="K42">
        <f>IFERROR(VLOOKUP(B42,Sheet2!$A$1:$B$114,2,FALSE),"")</f>
        <v>1141</v>
      </c>
      <c r="L42" t="str">
        <f>IFERROR(VLOOKUP(C42,Sheet2!$A$1:$B$114,2,FALSE),"")</f>
        <v/>
      </c>
      <c r="M42" t="str">
        <f>IFERROR(VLOOKUP(D42,Sheet2!$A$1:$B$114,2,FALSE),"")</f>
        <v/>
      </c>
      <c r="N42" t="str">
        <f>IFERROR(VLOOKUP(A42,Sheet2!$A$1:$C$114,3,FALSE),"")</f>
        <v>head_yumianfuren</v>
      </c>
      <c r="O42" t="str">
        <f>IFERROR(VLOOKUP(B42,Sheet2!$A$1:$C$114,3,FALSE),"")</f>
        <v>head_yutu</v>
      </c>
      <c r="P42" t="str">
        <f>IFERROR(VLOOKUP(C42,Sheet2!$A$1:$C$114,3,FALSE),"")</f>
        <v/>
      </c>
      <c r="Q42" t="str">
        <f>IFERROR(VLOOKUP(D42,Sheet2!$A$1:$C$114,3,FALSE),"")</f>
        <v/>
      </c>
      <c r="S42" t="str">
        <f>VLOOKUP($E42,[1]Sheet1!$A:$J,10,0)</f>
        <v>攻击+16%</v>
      </c>
      <c r="AA42" s="135" t="s">
        <v>55</v>
      </c>
      <c r="AB42" s="135" t="s">
        <v>157</v>
      </c>
      <c r="AC42" s="1"/>
      <c r="AE42" s="136" t="s">
        <v>874</v>
      </c>
      <c r="AG42">
        <f t="shared" si="9"/>
        <v>0</v>
      </c>
      <c r="AH42" t="str">
        <f t="shared" si="9"/>
        <v>16%</v>
      </c>
      <c r="AI42">
        <f t="shared" si="9"/>
        <v>0</v>
      </c>
      <c r="AL42" t="s">
        <v>847</v>
      </c>
    </row>
    <row r="43" spans="1:38" ht="13.5" customHeight="1">
      <c r="A43" s="1" t="s">
        <v>53</v>
      </c>
      <c r="B43" s="1" t="s">
        <v>55</v>
      </c>
      <c r="C43" s="1"/>
      <c r="D43" s="1"/>
      <c r="E43" s="72">
        <v>11052</v>
      </c>
      <c r="F43" s="71" t="s">
        <v>391</v>
      </c>
      <c r="G43" t="str">
        <f t="shared" si="3"/>
        <v>1139,1138</v>
      </c>
      <c r="H43" t="str">
        <f t="shared" si="4"/>
        <v>head_jinqianbaowang,head_yumianfuren</v>
      </c>
      <c r="J43">
        <f>IFERROR(VLOOKUP(A43,Sheet2!$A$1:$B$114,2,FALSE),"")</f>
        <v>1139</v>
      </c>
      <c r="K43">
        <f>IFERROR(VLOOKUP(B43,Sheet2!$A$1:$B$114,2,FALSE),"")</f>
        <v>1138</v>
      </c>
      <c r="L43" t="str">
        <f>IFERROR(VLOOKUP(C43,Sheet2!$A$1:$B$114,2,FALSE),"")</f>
        <v/>
      </c>
      <c r="M43" t="str">
        <f>IFERROR(VLOOKUP(D43,Sheet2!$A$1:$B$114,2,FALSE),"")</f>
        <v/>
      </c>
      <c r="N43" t="str">
        <f>IFERROR(VLOOKUP(A43,Sheet2!$A$1:$C$114,3,FALSE),"")</f>
        <v>head_jinqianbaowang</v>
      </c>
      <c r="O43" t="str">
        <f>IFERROR(VLOOKUP(B43,Sheet2!$A$1:$C$114,3,FALSE),"")</f>
        <v>head_yumianfuren</v>
      </c>
      <c r="P43" t="str">
        <f>IFERROR(VLOOKUP(C43,Sheet2!$A$1:$C$114,3,FALSE),"")</f>
        <v/>
      </c>
      <c r="Q43" t="str">
        <f>IFERROR(VLOOKUP(D43,Sheet2!$A$1:$C$114,3,FALSE),"")</f>
        <v/>
      </c>
      <c r="S43" t="str">
        <f>VLOOKUP($E43,[1]Sheet1!$A:$J,10,0)</f>
        <v>防御+16%</v>
      </c>
      <c r="AA43" s="134" t="s">
        <v>53</v>
      </c>
      <c r="AB43" s="134" t="s">
        <v>55</v>
      </c>
      <c r="AC43" s="1"/>
      <c r="AE43" s="130" t="s">
        <v>849</v>
      </c>
      <c r="AG43">
        <f t="shared" si="9"/>
        <v>0</v>
      </c>
      <c r="AH43">
        <f t="shared" si="9"/>
        <v>0</v>
      </c>
      <c r="AI43" t="str">
        <f t="shared" si="9"/>
        <v>16%</v>
      </c>
      <c r="AL43" t="s">
        <v>849</v>
      </c>
    </row>
    <row r="44" spans="1:38" ht="13.5" customHeight="1">
      <c r="A44" s="1" t="s">
        <v>157</v>
      </c>
      <c r="B44" s="1" t="s">
        <v>171</v>
      </c>
      <c r="C44" s="1"/>
      <c r="D44" s="1"/>
      <c r="E44" s="72">
        <v>11053</v>
      </c>
      <c r="F44" s="71" t="s">
        <v>392</v>
      </c>
      <c r="G44" t="str">
        <f t="shared" si="3"/>
        <v>1141,1226</v>
      </c>
      <c r="H44" t="str">
        <f t="shared" si="4"/>
        <v>head_yutu,head_shanzijing</v>
      </c>
      <c r="J44">
        <f>IFERROR(VLOOKUP(A44,Sheet2!$A$1:$B$114,2,FALSE),"")</f>
        <v>1141</v>
      </c>
      <c r="K44">
        <f>IFERROR(VLOOKUP(B44,Sheet2!$A$1:$B$114,2,FALSE),"")</f>
        <v>1226</v>
      </c>
      <c r="L44" t="str">
        <f>IFERROR(VLOOKUP(C44,Sheet2!$A$1:$B$114,2,FALSE),"")</f>
        <v/>
      </c>
      <c r="M44" t="str">
        <f>IFERROR(VLOOKUP(D44,Sheet2!$A$1:$B$114,2,FALSE),"")</f>
        <v/>
      </c>
      <c r="N44" t="str">
        <f>IFERROR(VLOOKUP(A44,Sheet2!$A$1:$C$114,3,FALSE),"")</f>
        <v>head_yutu</v>
      </c>
      <c r="O44" t="str">
        <f>IFERROR(VLOOKUP(B44,Sheet2!$A$1:$C$114,3,FALSE),"")</f>
        <v>head_shanzijing</v>
      </c>
      <c r="P44" t="str">
        <f>IFERROR(VLOOKUP(C44,Sheet2!$A$1:$C$114,3,FALSE),"")</f>
        <v/>
      </c>
      <c r="Q44" t="str">
        <f>IFERROR(VLOOKUP(D44,Sheet2!$A$1:$C$114,3,FALSE),"")</f>
        <v/>
      </c>
      <c r="S44" t="str">
        <f>VLOOKUP($E44,[1]Sheet1!$A:$J,10,0)</f>
        <v>防御+16%</v>
      </c>
      <c r="AA44" s="134" t="s">
        <v>157</v>
      </c>
      <c r="AB44" s="134" t="s">
        <v>171</v>
      </c>
      <c r="AC44" s="1"/>
      <c r="AE44" s="130" t="s">
        <v>849</v>
      </c>
      <c r="AG44">
        <f t="shared" si="9"/>
        <v>0</v>
      </c>
      <c r="AH44">
        <f t="shared" si="9"/>
        <v>0</v>
      </c>
      <c r="AI44" t="str">
        <f t="shared" si="9"/>
        <v>16%</v>
      </c>
      <c r="AL44" t="s">
        <v>847</v>
      </c>
    </row>
    <row r="45" spans="1:38" ht="13.5" customHeight="1">
      <c r="A45" s="1"/>
      <c r="B45" s="1"/>
      <c r="C45" s="1"/>
      <c r="D45" s="1"/>
      <c r="E45" s="72"/>
      <c r="F45" s="71"/>
      <c r="AE45"/>
    </row>
    <row r="46" spans="1:38" ht="13.5" customHeight="1">
      <c r="A46" s="1"/>
      <c r="B46" s="1"/>
      <c r="C46" s="1"/>
      <c r="D46" s="1"/>
      <c r="E46" s="66"/>
      <c r="AE46"/>
    </row>
    <row r="47" spans="1:38" ht="13.5" customHeight="1">
      <c r="A47" s="120" t="s">
        <v>437</v>
      </c>
      <c r="B47" s="49" t="s">
        <v>174</v>
      </c>
      <c r="C47" s="51"/>
      <c r="D47" s="94"/>
      <c r="E47" s="65" t="s">
        <v>260</v>
      </c>
      <c r="F47" s="65" t="s">
        <v>261</v>
      </c>
      <c r="G47" s="65" t="s">
        <v>258</v>
      </c>
      <c r="H47" s="65" t="s">
        <v>368</v>
      </c>
      <c r="J47" s="70" t="s">
        <v>259</v>
      </c>
      <c r="K47" s="66"/>
      <c r="L47" s="66"/>
      <c r="M47" s="66"/>
      <c r="N47" s="70" t="s">
        <v>367</v>
      </c>
    </row>
    <row r="48" spans="1:38" ht="13.5" customHeight="1">
      <c r="A48" s="1" t="str">
        <f>IFERROR(VLOOKUP(A2,中介表!$A$1:$C$20,2,FALSE),"")</f>
        <v>二郎神</v>
      </c>
      <c r="B48" s="1" t="str">
        <f>IFERROR(VLOOKUP(B2,中介表!$A$1:$C$20,2,FALSE),"")</f>
        <v>王母娘娘</v>
      </c>
      <c r="C48" s="1" t="str">
        <f>IFERROR(VLOOKUP(C2,中介表!$A$1:$C$20,2,FALSE),"")</f>
        <v>黑无常</v>
      </c>
      <c r="D48" s="1" t="str">
        <f>IFERROR(VLOOKUP(D2,中介表!$A$1:$C$20,2,FALSE),"")</f>
        <v>九天玄女</v>
      </c>
      <c r="E48" s="72">
        <f>E2+100</f>
        <v>11111</v>
      </c>
      <c r="F48" s="71" t="s">
        <v>438</v>
      </c>
      <c r="G48" t="str">
        <f t="shared" ref="G48:G90" si="10">J48&amp;","&amp;K48&amp;IF(L48="","",","&amp;L48)&amp;IF(M48="","",","&amp;M48)</f>
        <v>1101,1105,1219,1109</v>
      </c>
      <c r="H48" t="str">
        <f>N48&amp;","&amp;O48&amp;IF(P48="","",","&amp;P48)&amp;IF(Q48="","",","&amp;Q48)</f>
        <v>head_erlangshen,head_wangmuniangniang,head_heiwuchang,head_jiutianxuannv</v>
      </c>
      <c r="J48">
        <f>IFERROR(VLOOKUP(A48,Sheet2!$A$1:$B$114,2,FALSE),"")</f>
        <v>1101</v>
      </c>
      <c r="K48">
        <f>IFERROR(VLOOKUP(B48,Sheet2!$A$1:$B$114,2,FALSE),"")</f>
        <v>1105</v>
      </c>
      <c r="L48">
        <f>IFERROR(VLOOKUP(C48,Sheet2!$A$1:$B$114,2,FALSE),"")</f>
        <v>1219</v>
      </c>
      <c r="M48">
        <f>IFERROR(VLOOKUP(D48,Sheet2!$A$1:$B$114,2,FALSE),"")</f>
        <v>1109</v>
      </c>
      <c r="N48" t="str">
        <f>IFERROR(VLOOKUP(A48,Sheet2!$A$1:$C$114,3,FALSE),"")</f>
        <v>head_erlangshen</v>
      </c>
      <c r="O48" t="str">
        <f>IFERROR(VLOOKUP(B48,Sheet2!$A$1:$C$114,3,FALSE),"")</f>
        <v>head_wangmuniangniang</v>
      </c>
      <c r="P48" t="str">
        <f>IFERROR(VLOOKUP(C48,Sheet2!$A$1:$C$114,3,FALSE),"")</f>
        <v>head_heiwuchang</v>
      </c>
      <c r="Q48" t="str">
        <f>IFERROR(VLOOKUP(D48,Sheet2!$A$1:$C$114,3,FALSE),"")</f>
        <v>head_jiutianxuannv</v>
      </c>
    </row>
    <row r="49" spans="1:17" ht="13.5" customHeight="1">
      <c r="A49" s="1" t="str">
        <f>IFERROR(VLOOKUP(A3,中介表!$A$1:$C$20,2,FALSE),"")</f>
        <v>哪吒</v>
      </c>
      <c r="B49" s="1" t="str">
        <f>IFERROR(VLOOKUP(B3,中介表!$A$1:$C$20,2,FALSE),"")</f>
        <v>白无常</v>
      </c>
      <c r="C49" s="1" t="str">
        <f>IFERROR(VLOOKUP(C3,中介表!$A$1:$C$20,2,FALSE),"")</f>
        <v>托塔天王</v>
      </c>
      <c r="D49" s="1" t="str">
        <f>IFERROR(VLOOKUP(D3,中介表!$A$1:$C$20,2,FALSE),"")</f>
        <v>嫦娥</v>
      </c>
      <c r="E49" s="72">
        <f t="shared" ref="E49:E90" si="11">E3+100</f>
        <v>11112</v>
      </c>
      <c r="F49" s="71" t="s">
        <v>439</v>
      </c>
      <c r="G49" t="str">
        <f t="shared" si="10"/>
        <v>1102,1218,1108,1103</v>
      </c>
      <c r="H49" t="str">
        <f t="shared" ref="H49:H90" si="12">N49&amp;","&amp;O49&amp;IF(P49="","",","&amp;P49)&amp;IF(Q49="","",","&amp;Q49)</f>
        <v>head_nezha,head_baiwuchang,head_tuotatianwang,head_change</v>
      </c>
      <c r="J49">
        <f>IFERROR(VLOOKUP(A49,Sheet2!$A$1:$B$114,2,FALSE),"")</f>
        <v>1102</v>
      </c>
      <c r="K49">
        <f>IFERROR(VLOOKUP(B49,Sheet2!$A$1:$B$114,2,FALSE),"")</f>
        <v>1218</v>
      </c>
      <c r="L49">
        <f>IFERROR(VLOOKUP(C49,Sheet2!$A$1:$B$114,2,FALSE),"")</f>
        <v>1108</v>
      </c>
      <c r="M49">
        <f>IFERROR(VLOOKUP(D49,Sheet2!$A$1:$B$114,2,FALSE),"")</f>
        <v>1103</v>
      </c>
      <c r="N49" t="str">
        <f>IFERROR(VLOOKUP(A49,Sheet2!$A$1:$C$114,3,FALSE),"")</f>
        <v>head_nezha</v>
      </c>
      <c r="O49" t="str">
        <f>IFERROR(VLOOKUP(B49,Sheet2!$A$1:$C$114,3,FALSE),"")</f>
        <v>head_baiwuchang</v>
      </c>
      <c r="P49" t="str">
        <f>IFERROR(VLOOKUP(C49,Sheet2!$A$1:$C$114,3,FALSE),"")</f>
        <v>head_tuotatianwang</v>
      </c>
      <c r="Q49" t="str">
        <f>IFERROR(VLOOKUP(D49,Sheet2!$A$1:$C$114,3,FALSE),"")</f>
        <v>head_change</v>
      </c>
    </row>
    <row r="50" spans="1:17" ht="13.5" customHeight="1">
      <c r="A50" s="1" t="str">
        <f>IFERROR(VLOOKUP(A4,中介表!$A$1:$C$20,2,FALSE),"")</f>
        <v>二郎神</v>
      </c>
      <c r="B50" s="1" t="str">
        <f>IFERROR(VLOOKUP(B4,中介表!$A$1:$C$20,2,FALSE),"")</f>
        <v>王母娘娘</v>
      </c>
      <c r="C50" s="1" t="str">
        <f>IFERROR(VLOOKUP(C4,中介表!$A$1:$C$20,2,FALSE),"")</f>
        <v>托塔天王</v>
      </c>
      <c r="D50" s="1" t="str">
        <f>IFERROR(VLOOKUP(D4,中介表!$A$1:$C$20,2,FALSE),"")</f>
        <v/>
      </c>
      <c r="E50" s="72">
        <f t="shared" si="11"/>
        <v>11113</v>
      </c>
      <c r="F50" s="71" t="s">
        <v>440</v>
      </c>
      <c r="G50" t="str">
        <f t="shared" si="10"/>
        <v>1101,1105,1108</v>
      </c>
      <c r="H50" t="str">
        <f t="shared" si="12"/>
        <v>head_erlangshen,head_wangmuniangniang,head_tuotatianwang</v>
      </c>
      <c r="J50">
        <f>IFERROR(VLOOKUP(A50,Sheet2!$A$1:$B$114,2,FALSE),"")</f>
        <v>1101</v>
      </c>
      <c r="K50">
        <f>IFERROR(VLOOKUP(B50,Sheet2!$A$1:$B$114,2,FALSE),"")</f>
        <v>1105</v>
      </c>
      <c r="L50">
        <f>IFERROR(VLOOKUP(C50,Sheet2!$A$1:$B$114,2,FALSE),"")</f>
        <v>1108</v>
      </c>
      <c r="M50" t="str">
        <f>IFERROR(VLOOKUP(D50,Sheet2!$A$1:$B$114,2,FALSE),"")</f>
        <v/>
      </c>
      <c r="N50" t="str">
        <f>IFERROR(VLOOKUP(A50,Sheet2!$A$1:$C$114,3,FALSE),"")</f>
        <v>head_erlangshen</v>
      </c>
      <c r="O50" t="str">
        <f>IFERROR(VLOOKUP(B50,Sheet2!$A$1:$C$114,3,FALSE),"")</f>
        <v>head_wangmuniangniang</v>
      </c>
      <c r="P50" t="str">
        <f>IFERROR(VLOOKUP(C50,Sheet2!$A$1:$C$114,3,FALSE),"")</f>
        <v>head_tuotatianwang</v>
      </c>
      <c r="Q50" t="str">
        <f>IFERROR(VLOOKUP(D50,Sheet2!$A$1:$C$114,3,FALSE),"")</f>
        <v/>
      </c>
    </row>
    <row r="51" spans="1:17" ht="13.5" customHeight="1">
      <c r="A51" s="1" t="str">
        <f>IFERROR(VLOOKUP(A5,中介表!$A$1:$C$20,2,FALSE),"")</f>
        <v>哪吒</v>
      </c>
      <c r="B51" s="1" t="str">
        <f>IFERROR(VLOOKUP(B5,中介表!$A$1:$C$20,2,FALSE),"")</f>
        <v>白无常</v>
      </c>
      <c r="C51" s="1" t="str">
        <f>IFERROR(VLOOKUP(C5,中介表!$A$1:$C$20,2,FALSE),"")</f>
        <v>黑无常</v>
      </c>
      <c r="D51" s="1" t="str">
        <f>IFERROR(VLOOKUP(D5,中介表!$A$1:$C$20,2,FALSE),"")</f>
        <v/>
      </c>
      <c r="E51" s="72">
        <f t="shared" si="11"/>
        <v>11114</v>
      </c>
      <c r="F51" s="71" t="s">
        <v>441</v>
      </c>
      <c r="G51" t="str">
        <f t="shared" si="10"/>
        <v>1102,1218,1219</v>
      </c>
      <c r="H51" t="str">
        <f t="shared" si="12"/>
        <v>head_nezha,head_baiwuchang,head_heiwuchang</v>
      </c>
      <c r="J51">
        <f>IFERROR(VLOOKUP(A51,Sheet2!$A$1:$B$114,2,FALSE),"")</f>
        <v>1102</v>
      </c>
      <c r="K51">
        <f>IFERROR(VLOOKUP(B51,Sheet2!$A$1:$B$114,2,FALSE),"")</f>
        <v>1218</v>
      </c>
      <c r="L51">
        <f>IFERROR(VLOOKUP(C51,Sheet2!$A$1:$B$114,2,FALSE),"")</f>
        <v>1219</v>
      </c>
      <c r="M51" t="str">
        <f>IFERROR(VLOOKUP(D51,Sheet2!$A$1:$B$114,2,FALSE),"")</f>
        <v/>
      </c>
      <c r="N51" t="str">
        <f>IFERROR(VLOOKUP(A51,Sheet2!$A$1:$C$114,3,FALSE),"")</f>
        <v>head_nezha</v>
      </c>
      <c r="O51" t="str">
        <f>IFERROR(VLOOKUP(B51,Sheet2!$A$1:$C$114,3,FALSE),"")</f>
        <v>head_baiwuchang</v>
      </c>
      <c r="P51" t="str">
        <f>IFERROR(VLOOKUP(C51,Sheet2!$A$1:$C$114,3,FALSE),"")</f>
        <v>head_heiwuchang</v>
      </c>
      <c r="Q51" t="str">
        <f>IFERROR(VLOOKUP(D51,Sheet2!$A$1:$C$114,3,FALSE),"")</f>
        <v/>
      </c>
    </row>
    <row r="52" spans="1:17" ht="13.5" customHeight="1">
      <c r="A52" s="1" t="str">
        <f>IFERROR(VLOOKUP(A6,中介表!$A$1:$C$20,2,FALSE),"")</f>
        <v>托塔天王</v>
      </c>
      <c r="B52" s="1" t="str">
        <f>IFERROR(VLOOKUP(B6,中介表!$A$1:$C$20,2,FALSE),"")</f>
        <v>九天玄女</v>
      </c>
      <c r="C52" s="1" t="str">
        <f>IFERROR(VLOOKUP(C6,中介表!$A$1:$C$20,2,FALSE),"")</f>
        <v>嫦娥</v>
      </c>
      <c r="D52" s="1" t="str">
        <f>IFERROR(VLOOKUP(D6,中介表!$A$1:$C$20,2,FALSE),"")</f>
        <v/>
      </c>
      <c r="E52" s="72">
        <f t="shared" si="11"/>
        <v>11115</v>
      </c>
      <c r="F52" s="71" t="s">
        <v>442</v>
      </c>
      <c r="G52" t="str">
        <f t="shared" si="10"/>
        <v>1108,1109,1103</v>
      </c>
      <c r="H52" t="str">
        <f t="shared" si="12"/>
        <v>head_tuotatianwang,head_jiutianxuannv,head_change</v>
      </c>
      <c r="J52">
        <f>IFERROR(VLOOKUP(A52,Sheet2!$A$1:$B$114,2,FALSE),"")</f>
        <v>1108</v>
      </c>
      <c r="K52">
        <f>IFERROR(VLOOKUP(B52,Sheet2!$A$1:$B$114,2,FALSE),"")</f>
        <v>1109</v>
      </c>
      <c r="L52">
        <f>IFERROR(VLOOKUP(C52,Sheet2!$A$1:$B$114,2,FALSE),"")</f>
        <v>1103</v>
      </c>
      <c r="M52" t="str">
        <f>IFERROR(VLOOKUP(D52,Sheet2!$A$1:$B$114,2,FALSE),"")</f>
        <v/>
      </c>
      <c r="N52" t="str">
        <f>IFERROR(VLOOKUP(A52,Sheet2!$A$1:$C$114,3,FALSE),"")</f>
        <v>head_tuotatianwang</v>
      </c>
      <c r="O52" t="str">
        <f>IFERROR(VLOOKUP(B52,Sheet2!$A$1:$C$114,3,FALSE),"")</f>
        <v>head_jiutianxuannv</v>
      </c>
      <c r="P52" t="str">
        <f>IFERROR(VLOOKUP(C52,Sheet2!$A$1:$C$114,3,FALSE),"")</f>
        <v>head_change</v>
      </c>
      <c r="Q52" t="str">
        <f>IFERROR(VLOOKUP(D52,Sheet2!$A$1:$C$114,3,FALSE),"")</f>
        <v/>
      </c>
    </row>
    <row r="53" spans="1:17" ht="13.5" customHeight="1">
      <c r="A53" s="1" t="str">
        <f>IFERROR(VLOOKUP(A7,中介表!$A$1:$C$20,2,FALSE),"")</f>
        <v>黑无常</v>
      </c>
      <c r="B53" s="1" t="str">
        <f>IFERROR(VLOOKUP(B7,中介表!$A$1:$C$20,2,FALSE),"")</f>
        <v>九天玄女</v>
      </c>
      <c r="C53" s="1" t="str">
        <f>IFERROR(VLOOKUP(C7,中介表!$A$1:$C$20,2,FALSE),"")</f>
        <v>嫦娥</v>
      </c>
      <c r="D53" s="1" t="str">
        <f>IFERROR(VLOOKUP(D7,中介表!$A$1:$C$20,2,FALSE),"")</f>
        <v/>
      </c>
      <c r="E53" s="72">
        <f t="shared" si="11"/>
        <v>11116</v>
      </c>
      <c r="F53" s="71" t="s">
        <v>443</v>
      </c>
      <c r="G53" t="str">
        <f t="shared" si="10"/>
        <v>1219,1109,1103</v>
      </c>
      <c r="H53" t="str">
        <f t="shared" si="12"/>
        <v>head_heiwuchang,head_jiutianxuannv,head_change</v>
      </c>
      <c r="J53">
        <f>IFERROR(VLOOKUP(A53,Sheet2!$A$1:$B$114,2,FALSE),"")</f>
        <v>1219</v>
      </c>
      <c r="K53">
        <f>IFERROR(VLOOKUP(B53,Sheet2!$A$1:$B$114,2,FALSE),"")</f>
        <v>1109</v>
      </c>
      <c r="L53">
        <f>IFERROR(VLOOKUP(C53,Sheet2!$A$1:$B$114,2,FALSE),"")</f>
        <v>1103</v>
      </c>
      <c r="M53" t="str">
        <f>IFERROR(VLOOKUP(D53,Sheet2!$A$1:$B$114,2,FALSE),"")</f>
        <v/>
      </c>
      <c r="N53" t="str">
        <f>IFERROR(VLOOKUP(A53,Sheet2!$A$1:$C$114,3,FALSE),"")</f>
        <v>head_heiwuchang</v>
      </c>
      <c r="O53" t="str">
        <f>IFERROR(VLOOKUP(B53,Sheet2!$A$1:$C$114,3,FALSE),"")</f>
        <v>head_jiutianxuannv</v>
      </c>
      <c r="P53" t="str">
        <f>IFERROR(VLOOKUP(C53,Sheet2!$A$1:$C$114,3,FALSE),"")</f>
        <v>head_change</v>
      </c>
      <c r="Q53" t="str">
        <f>IFERROR(VLOOKUP(D53,Sheet2!$A$1:$C$114,3,FALSE),"")</f>
        <v/>
      </c>
    </row>
    <row r="54" spans="1:17" ht="13.5" customHeight="1">
      <c r="A54" s="1" t="str">
        <f>IFERROR(VLOOKUP(A8,中介表!$A$1:$C$20,2,FALSE),"")</f>
        <v>赤脚大仙</v>
      </c>
      <c r="B54" s="1" t="str">
        <f>IFERROR(VLOOKUP(B8,中介表!$A$1:$C$20,2,FALSE),"")</f>
        <v>东海龙王</v>
      </c>
      <c r="C54" s="1" t="str">
        <f>IFERROR(VLOOKUP(C8,中介表!$A$1:$C$20,2,FALSE),"")</f>
        <v>太白金星</v>
      </c>
      <c r="D54" s="1" t="str">
        <f>IFERROR(VLOOKUP(D8,中介表!$A$1:$C$20,2,FALSE),"")</f>
        <v/>
      </c>
      <c r="E54" s="72">
        <f t="shared" si="11"/>
        <v>11117</v>
      </c>
      <c r="F54" s="71" t="s">
        <v>444</v>
      </c>
      <c r="G54" t="str">
        <f t="shared" si="10"/>
        <v>1107,1135,1106</v>
      </c>
      <c r="H54" t="str">
        <f t="shared" si="12"/>
        <v>head_chijiaodaxian,head_donghailongwang,head_taibaijinxing</v>
      </c>
      <c r="J54">
        <f>IFERROR(VLOOKUP(A54,Sheet2!$A$1:$B$114,2,FALSE),"")</f>
        <v>1107</v>
      </c>
      <c r="K54">
        <f>IFERROR(VLOOKUP(B54,Sheet2!$A$1:$B$114,2,FALSE),"")</f>
        <v>1135</v>
      </c>
      <c r="L54">
        <f>IFERROR(VLOOKUP(C54,Sheet2!$A$1:$B$114,2,FALSE),"")</f>
        <v>1106</v>
      </c>
      <c r="M54" t="str">
        <f>IFERROR(VLOOKUP(D54,Sheet2!$A$1:$B$114,2,FALSE),"")</f>
        <v/>
      </c>
      <c r="N54" t="str">
        <f>IFERROR(VLOOKUP(A54,Sheet2!$A$1:$C$114,3,FALSE),"")</f>
        <v>head_chijiaodaxian</v>
      </c>
      <c r="O54" t="str">
        <f>IFERROR(VLOOKUP(B54,Sheet2!$A$1:$C$114,3,FALSE),"")</f>
        <v>head_donghailongwang</v>
      </c>
      <c r="P54" t="str">
        <f>IFERROR(VLOOKUP(C54,Sheet2!$A$1:$C$114,3,FALSE),"")</f>
        <v>head_taibaijinxing</v>
      </c>
      <c r="Q54" t="str">
        <f>IFERROR(VLOOKUP(D54,Sheet2!$A$1:$C$114,3,FALSE),"")</f>
        <v/>
      </c>
    </row>
    <row r="55" spans="1:17" ht="13.5" customHeight="1">
      <c r="A55" s="1" t="str">
        <f>IFERROR(VLOOKUP(A9,中介表!$A$1:$C$20,2,FALSE),"")</f>
        <v>玉皇大帝</v>
      </c>
      <c r="B55" s="1" t="str">
        <f>IFERROR(VLOOKUP(B9,中介表!$A$1:$C$20,2,FALSE),"")</f>
        <v>东海龙王</v>
      </c>
      <c r="C55" s="1" t="str">
        <f>IFERROR(VLOOKUP(C9,中介表!$A$1:$C$20,2,FALSE),"")</f>
        <v>太白金星</v>
      </c>
      <c r="D55" s="1" t="str">
        <f>IFERROR(VLOOKUP(D9,中介表!$A$1:$C$20,2,FALSE),"")</f>
        <v/>
      </c>
      <c r="E55" s="72">
        <f t="shared" si="11"/>
        <v>11118</v>
      </c>
      <c r="F55" s="71" t="s">
        <v>445</v>
      </c>
      <c r="G55" t="str">
        <f t="shared" si="10"/>
        <v>1104,1135,1106</v>
      </c>
      <c r="H55" t="str">
        <f t="shared" si="12"/>
        <v>head_yuhuangdadi,head_donghailongwang,head_taibaijinxing</v>
      </c>
      <c r="J55">
        <f>IFERROR(VLOOKUP(A55,Sheet2!$A$1:$B$114,2,FALSE),"")</f>
        <v>1104</v>
      </c>
      <c r="K55">
        <f>IFERROR(VLOOKUP(B55,Sheet2!$A$1:$B$114,2,FALSE),"")</f>
        <v>1135</v>
      </c>
      <c r="L55">
        <f>IFERROR(VLOOKUP(C55,Sheet2!$A$1:$B$114,2,FALSE),"")</f>
        <v>1106</v>
      </c>
      <c r="M55" t="str">
        <f>IFERROR(VLOOKUP(D55,Sheet2!$A$1:$B$114,2,FALSE),"")</f>
        <v/>
      </c>
      <c r="N55" t="str">
        <f>IFERROR(VLOOKUP(A55,Sheet2!$A$1:$C$114,3,FALSE),"")</f>
        <v>head_yuhuangdadi</v>
      </c>
      <c r="O55" t="str">
        <f>IFERROR(VLOOKUP(B55,Sheet2!$A$1:$C$114,3,FALSE),"")</f>
        <v>head_donghailongwang</v>
      </c>
      <c r="P55" t="str">
        <f>IFERROR(VLOOKUP(C55,Sheet2!$A$1:$C$114,3,FALSE),"")</f>
        <v>head_taibaijinxing</v>
      </c>
      <c r="Q55" t="str">
        <f>IFERROR(VLOOKUP(D55,Sheet2!$A$1:$C$114,3,FALSE),"")</f>
        <v/>
      </c>
    </row>
    <row r="56" spans="1:17" ht="13.5" customHeight="1">
      <c r="A56" s="1" t="str">
        <f>IFERROR(VLOOKUP(A10,中介表!$A$1:$C$20,2,FALSE),"")</f>
        <v>阎罗王</v>
      </c>
      <c r="B56" s="1" t="str">
        <f>IFERROR(VLOOKUP(B10,中介表!$A$1:$C$20,2,FALSE),"")</f>
        <v>小白龙</v>
      </c>
      <c r="C56" s="1" t="str">
        <f>IFERROR(VLOOKUP(C10,中介表!$A$1:$C$20,2,FALSE),"")</f>
        <v>玉皇大帝</v>
      </c>
      <c r="D56" s="1" t="str">
        <f>IFERROR(VLOOKUP(D10,中介表!$A$1:$C$20,2,FALSE),"")</f>
        <v/>
      </c>
      <c r="E56" s="72">
        <f t="shared" si="11"/>
        <v>11119</v>
      </c>
      <c r="F56" s="71" t="s">
        <v>446</v>
      </c>
      <c r="G56" t="str">
        <f t="shared" si="10"/>
        <v>1201,1123,1104</v>
      </c>
      <c r="H56" t="str">
        <f t="shared" si="12"/>
        <v>head_yanluowang,head_xiaobailong,head_yuhuangdadi</v>
      </c>
      <c r="J56">
        <f>IFERROR(VLOOKUP(A56,Sheet2!$A$1:$B$114,2,FALSE),"")</f>
        <v>1201</v>
      </c>
      <c r="K56">
        <f>IFERROR(VLOOKUP(B56,Sheet2!$A$1:$B$114,2,FALSE),"")</f>
        <v>1123</v>
      </c>
      <c r="L56">
        <f>IFERROR(VLOOKUP(C56,Sheet2!$A$1:$B$114,2,FALSE),"")</f>
        <v>1104</v>
      </c>
      <c r="M56" t="str">
        <f>IFERROR(VLOOKUP(D56,Sheet2!$A$1:$B$114,2,FALSE),"")</f>
        <v/>
      </c>
      <c r="N56" t="str">
        <f>IFERROR(VLOOKUP(A56,Sheet2!$A$1:$C$114,3,FALSE),"")</f>
        <v>head_yanluowang</v>
      </c>
      <c r="O56" t="str">
        <f>IFERROR(VLOOKUP(B56,Sheet2!$A$1:$C$114,3,FALSE),"")</f>
        <v>head_xiaobailong</v>
      </c>
      <c r="P56" t="str">
        <f>IFERROR(VLOOKUP(C56,Sheet2!$A$1:$C$114,3,FALSE),"")</f>
        <v>head_yuhuangdadi</v>
      </c>
      <c r="Q56" t="str">
        <f>IFERROR(VLOOKUP(D56,Sheet2!$A$1:$C$114,3,FALSE),"")</f>
        <v/>
      </c>
    </row>
    <row r="57" spans="1:17" ht="13.5" customHeight="1">
      <c r="A57" s="1" t="str">
        <f>IFERROR(VLOOKUP(A11,中介表!$A$1:$C$20,2,FALSE),"")</f>
        <v>赤脚大仙</v>
      </c>
      <c r="B57" s="1" t="str">
        <f>IFERROR(VLOOKUP(B11,中介表!$A$1:$C$20,2,FALSE),"")</f>
        <v>阎罗王</v>
      </c>
      <c r="C57" s="1" t="str">
        <f>IFERROR(VLOOKUP(C11,中介表!$A$1:$C$20,2,FALSE),"")</f>
        <v>小白龙</v>
      </c>
      <c r="D57" s="1" t="str">
        <f>IFERROR(VLOOKUP(D11,中介表!$A$1:$C$20,2,FALSE),"")</f>
        <v/>
      </c>
      <c r="E57" s="72">
        <f t="shared" si="11"/>
        <v>11120</v>
      </c>
      <c r="F57" s="71" t="s">
        <v>447</v>
      </c>
      <c r="G57" t="str">
        <f t="shared" si="10"/>
        <v>1107,1201,1123</v>
      </c>
      <c r="H57" t="str">
        <f t="shared" si="12"/>
        <v>head_chijiaodaxian,head_yanluowang,head_xiaobailong</v>
      </c>
      <c r="J57">
        <f>IFERROR(VLOOKUP(A57,Sheet2!$A$1:$B$114,2,FALSE),"")</f>
        <v>1107</v>
      </c>
      <c r="K57">
        <f>IFERROR(VLOOKUP(B57,Sheet2!$A$1:$B$114,2,FALSE),"")</f>
        <v>1201</v>
      </c>
      <c r="L57">
        <f>IFERROR(VLOOKUP(C57,Sheet2!$A$1:$B$114,2,FALSE),"")</f>
        <v>1123</v>
      </c>
      <c r="M57" t="str">
        <f>IFERROR(VLOOKUP(D57,Sheet2!$A$1:$B$114,2,FALSE),"")</f>
        <v/>
      </c>
      <c r="N57" t="str">
        <f>IFERROR(VLOOKUP(A57,Sheet2!$A$1:$C$114,3,FALSE),"")</f>
        <v>head_chijiaodaxian</v>
      </c>
      <c r="O57" t="str">
        <f>IFERROR(VLOOKUP(B57,Sheet2!$A$1:$C$114,3,FALSE),"")</f>
        <v>head_yanluowang</v>
      </c>
      <c r="P57" t="str">
        <f>IFERROR(VLOOKUP(C57,Sheet2!$A$1:$C$114,3,FALSE),"")</f>
        <v>head_xiaobailong</v>
      </c>
      <c r="Q57" t="str">
        <f>IFERROR(VLOOKUP(D57,Sheet2!$A$1:$C$114,3,FALSE),"")</f>
        <v/>
      </c>
    </row>
    <row r="58" spans="1:17" ht="13.5" customHeight="1">
      <c r="A58" s="1" t="str">
        <f>IFERROR(VLOOKUP(A12,中介表!$A$1:$C$20,2,FALSE),"")</f>
        <v>二郎神</v>
      </c>
      <c r="B58" s="1" t="str">
        <f>IFERROR(VLOOKUP(B12,中介表!$A$1:$C$20,2,FALSE),"")</f>
        <v>九天玄女</v>
      </c>
      <c r="C58" s="1" t="str">
        <f>IFERROR(VLOOKUP(C12,中介表!$A$1:$C$20,2,FALSE),"")</f>
        <v/>
      </c>
      <c r="D58" s="1" t="str">
        <f>IFERROR(VLOOKUP(D12,中介表!$A$1:$C$20,2,FALSE),"")</f>
        <v/>
      </c>
      <c r="E58" s="72">
        <f t="shared" si="11"/>
        <v>11121</v>
      </c>
      <c r="F58" s="71" t="s">
        <v>448</v>
      </c>
      <c r="G58" t="str">
        <f t="shared" si="10"/>
        <v>1101,1109</v>
      </c>
      <c r="H58" t="str">
        <f t="shared" si="12"/>
        <v>head_erlangshen,head_jiutianxuannv</v>
      </c>
      <c r="J58">
        <f>IFERROR(VLOOKUP(A58,Sheet2!$A$1:$B$114,2,FALSE),"")</f>
        <v>1101</v>
      </c>
      <c r="K58">
        <f>IFERROR(VLOOKUP(B58,Sheet2!$A$1:$B$114,2,FALSE),"")</f>
        <v>1109</v>
      </c>
      <c r="L58" t="str">
        <f>IFERROR(VLOOKUP(C58,Sheet2!$A$1:$B$114,2,FALSE),"")</f>
        <v/>
      </c>
      <c r="M58" t="str">
        <f>IFERROR(VLOOKUP(D58,Sheet2!$A$1:$B$114,2,FALSE),"")</f>
        <v/>
      </c>
      <c r="N58" t="str">
        <f>IFERROR(VLOOKUP(A58,Sheet2!$A$1:$C$114,3,FALSE),"")</f>
        <v>head_erlangshen</v>
      </c>
      <c r="O58" t="str">
        <f>IFERROR(VLOOKUP(B58,Sheet2!$A$1:$C$114,3,FALSE),"")</f>
        <v>head_jiutianxuannv</v>
      </c>
      <c r="P58" t="str">
        <f>IFERROR(VLOOKUP(C58,Sheet2!$A$1:$C$114,3,FALSE),"")</f>
        <v/>
      </c>
      <c r="Q58" t="str">
        <f>IFERROR(VLOOKUP(D58,Sheet2!$A$1:$C$114,3,FALSE),"")</f>
        <v/>
      </c>
    </row>
    <row r="59" spans="1:17" ht="13.5" customHeight="1">
      <c r="A59" s="1" t="str">
        <f>IFERROR(VLOOKUP(A13,中介表!$A$1:$C$20,2,FALSE),"")</f>
        <v>王母娘娘</v>
      </c>
      <c r="B59" s="1" t="str">
        <f>IFERROR(VLOOKUP(B13,中介表!$A$1:$C$20,2,FALSE),"")</f>
        <v>九天玄女</v>
      </c>
      <c r="C59" s="1" t="str">
        <f>IFERROR(VLOOKUP(C13,中介表!$A$1:$C$20,2,FALSE),"")</f>
        <v/>
      </c>
      <c r="D59" s="1" t="str">
        <f>IFERROR(VLOOKUP(D13,中介表!$A$1:$C$20,2,FALSE),"")</f>
        <v/>
      </c>
      <c r="E59" s="72">
        <f t="shared" si="11"/>
        <v>11122</v>
      </c>
      <c r="F59" s="71" t="s">
        <v>449</v>
      </c>
      <c r="G59" t="str">
        <f t="shared" si="10"/>
        <v>1105,1109</v>
      </c>
      <c r="H59" t="str">
        <f t="shared" si="12"/>
        <v>head_wangmuniangniang,head_jiutianxuannv</v>
      </c>
      <c r="J59">
        <f>IFERROR(VLOOKUP(A59,Sheet2!$A$1:$B$114,2,FALSE),"")</f>
        <v>1105</v>
      </c>
      <c r="K59">
        <f>IFERROR(VLOOKUP(B59,Sheet2!$A$1:$B$114,2,FALSE),"")</f>
        <v>1109</v>
      </c>
      <c r="L59" t="str">
        <f>IFERROR(VLOOKUP(C59,Sheet2!$A$1:$B$114,2,FALSE),"")</f>
        <v/>
      </c>
      <c r="M59" t="str">
        <f>IFERROR(VLOOKUP(D59,Sheet2!$A$1:$B$114,2,FALSE),"")</f>
        <v/>
      </c>
      <c r="N59" t="str">
        <f>IFERROR(VLOOKUP(A59,Sheet2!$A$1:$C$114,3,FALSE),"")</f>
        <v>head_wangmuniangniang</v>
      </c>
      <c r="O59" t="str">
        <f>IFERROR(VLOOKUP(B59,Sheet2!$A$1:$C$114,3,FALSE),"")</f>
        <v>head_jiutianxuannv</v>
      </c>
      <c r="P59" t="str">
        <f>IFERROR(VLOOKUP(C59,Sheet2!$A$1:$C$114,3,FALSE),"")</f>
        <v/>
      </c>
      <c r="Q59" t="str">
        <f>IFERROR(VLOOKUP(D59,Sheet2!$A$1:$C$114,3,FALSE),"")</f>
        <v/>
      </c>
    </row>
    <row r="60" spans="1:17" ht="13.5" customHeight="1">
      <c r="A60" s="1" t="str">
        <f>IFERROR(VLOOKUP(A14,中介表!$A$1:$C$20,2,FALSE),"")</f>
        <v>哪吒</v>
      </c>
      <c r="B60" s="1" t="str">
        <f>IFERROR(VLOOKUP(B14,中介表!$A$1:$C$20,2,FALSE),"")</f>
        <v>嫦娥</v>
      </c>
      <c r="C60" s="1" t="str">
        <f>IFERROR(VLOOKUP(C14,中介表!$A$1:$C$20,2,FALSE),"")</f>
        <v/>
      </c>
      <c r="D60" s="1" t="str">
        <f>IFERROR(VLOOKUP(D14,中介表!$A$1:$C$20,2,FALSE),"")</f>
        <v/>
      </c>
      <c r="E60" s="72">
        <f t="shared" si="11"/>
        <v>11123</v>
      </c>
      <c r="F60" s="71" t="s">
        <v>450</v>
      </c>
      <c r="G60" t="str">
        <f t="shared" si="10"/>
        <v>1102,1103</v>
      </c>
      <c r="H60" t="str">
        <f t="shared" si="12"/>
        <v>head_nezha,head_change</v>
      </c>
      <c r="J60">
        <f>IFERROR(VLOOKUP(A60,Sheet2!$A$1:$B$114,2,FALSE),"")</f>
        <v>1102</v>
      </c>
      <c r="K60">
        <f>IFERROR(VLOOKUP(B60,Sheet2!$A$1:$B$114,2,FALSE),"")</f>
        <v>1103</v>
      </c>
      <c r="L60" t="str">
        <f>IFERROR(VLOOKUP(C60,Sheet2!$A$1:$B$114,2,FALSE),"")</f>
        <v/>
      </c>
      <c r="M60" t="str">
        <f>IFERROR(VLOOKUP(D60,Sheet2!$A$1:$B$114,2,FALSE),"")</f>
        <v/>
      </c>
      <c r="N60" t="str">
        <f>IFERROR(VLOOKUP(A60,Sheet2!$A$1:$C$114,3,FALSE),"")</f>
        <v>head_nezha</v>
      </c>
      <c r="O60" t="str">
        <f>IFERROR(VLOOKUP(B60,Sheet2!$A$1:$C$114,3,FALSE),"")</f>
        <v>head_change</v>
      </c>
      <c r="P60" t="str">
        <f>IFERROR(VLOOKUP(C60,Sheet2!$A$1:$C$114,3,FALSE),"")</f>
        <v/>
      </c>
      <c r="Q60" t="str">
        <f>IFERROR(VLOOKUP(D60,Sheet2!$A$1:$C$114,3,FALSE),"")</f>
        <v/>
      </c>
    </row>
    <row r="61" spans="1:17" ht="13.5" customHeight="1">
      <c r="A61" s="1" t="str">
        <f>IFERROR(VLOOKUP(A15,中介表!$A$1:$C$20,2,FALSE),"")</f>
        <v>白无常</v>
      </c>
      <c r="B61" s="1" t="str">
        <f>IFERROR(VLOOKUP(B15,中介表!$A$1:$C$20,2,FALSE),"")</f>
        <v>嫦娥</v>
      </c>
      <c r="C61" s="1" t="str">
        <f>IFERROR(VLOOKUP(C15,中介表!$A$1:$C$20,2,FALSE),"")</f>
        <v/>
      </c>
      <c r="D61" s="1" t="str">
        <f>IFERROR(VLOOKUP(D15,中介表!$A$1:$C$20,2,FALSE),"")</f>
        <v/>
      </c>
      <c r="E61" s="72">
        <f t="shared" si="11"/>
        <v>11124</v>
      </c>
      <c r="F61" s="71" t="s">
        <v>451</v>
      </c>
      <c r="G61" t="str">
        <f t="shared" si="10"/>
        <v>1218,1103</v>
      </c>
      <c r="H61" t="str">
        <f t="shared" si="12"/>
        <v>head_baiwuchang,head_change</v>
      </c>
      <c r="J61">
        <f>IFERROR(VLOOKUP(A61,Sheet2!$A$1:$B$114,2,FALSE),"")</f>
        <v>1218</v>
      </c>
      <c r="K61">
        <f>IFERROR(VLOOKUP(B61,Sheet2!$A$1:$B$114,2,FALSE),"")</f>
        <v>1103</v>
      </c>
      <c r="L61" t="str">
        <f>IFERROR(VLOOKUP(C61,Sheet2!$A$1:$B$114,2,FALSE),"")</f>
        <v/>
      </c>
      <c r="M61" t="str">
        <f>IFERROR(VLOOKUP(D61,Sheet2!$A$1:$B$114,2,FALSE),"")</f>
        <v/>
      </c>
      <c r="N61" t="str">
        <f>IFERROR(VLOOKUP(A61,Sheet2!$A$1:$C$114,3,FALSE),"")</f>
        <v>head_baiwuchang</v>
      </c>
      <c r="O61" t="str">
        <f>IFERROR(VLOOKUP(B61,Sheet2!$A$1:$C$114,3,FALSE),"")</f>
        <v>head_change</v>
      </c>
      <c r="P61" t="str">
        <f>IFERROR(VLOOKUP(C61,Sheet2!$A$1:$C$114,3,FALSE),"")</f>
        <v/>
      </c>
      <c r="Q61" t="str">
        <f>IFERROR(VLOOKUP(D61,Sheet2!$A$1:$C$114,3,FALSE),"")</f>
        <v/>
      </c>
    </row>
    <row r="62" spans="1:17" ht="13.5" customHeight="1">
      <c r="A62" s="1" t="str">
        <f>IFERROR(VLOOKUP(A16,中介表!$A$1:$C$20,2,FALSE),"")</f>
        <v>托塔天王</v>
      </c>
      <c r="B62" s="1" t="str">
        <f>IFERROR(VLOOKUP(B16,中介表!$A$1:$C$20,2,FALSE),"")</f>
        <v>赤脚大仙</v>
      </c>
      <c r="C62" s="1" t="str">
        <f>IFERROR(VLOOKUP(C16,中介表!$A$1:$C$20,2,FALSE),"")</f>
        <v/>
      </c>
      <c r="D62" s="1" t="str">
        <f>IFERROR(VLOOKUP(D16,中介表!$A$1:$C$20,2,FALSE),"")</f>
        <v/>
      </c>
      <c r="E62" s="72">
        <f t="shared" si="11"/>
        <v>11125</v>
      </c>
      <c r="F62" s="71" t="s">
        <v>452</v>
      </c>
      <c r="G62" t="str">
        <f t="shared" si="10"/>
        <v>1108,1107</v>
      </c>
      <c r="H62" t="str">
        <f t="shared" si="12"/>
        <v>head_tuotatianwang,head_chijiaodaxian</v>
      </c>
      <c r="J62">
        <f>IFERROR(VLOOKUP(A62,Sheet2!$A$1:$B$114,2,FALSE),"")</f>
        <v>1108</v>
      </c>
      <c r="K62">
        <f>IFERROR(VLOOKUP(B62,Sheet2!$A$1:$B$114,2,FALSE),"")</f>
        <v>1107</v>
      </c>
      <c r="L62" t="str">
        <f>IFERROR(VLOOKUP(C62,Sheet2!$A$1:$B$114,2,FALSE),"")</f>
        <v/>
      </c>
      <c r="M62" t="str">
        <f>IFERROR(VLOOKUP(D62,Sheet2!$A$1:$B$114,2,FALSE),"")</f>
        <v/>
      </c>
      <c r="N62" t="str">
        <f>IFERROR(VLOOKUP(A62,Sheet2!$A$1:$C$114,3,FALSE),"")</f>
        <v>head_tuotatianwang</v>
      </c>
      <c r="O62" t="str">
        <f>IFERROR(VLOOKUP(B62,Sheet2!$A$1:$C$114,3,FALSE),"")</f>
        <v>head_chijiaodaxian</v>
      </c>
      <c r="P62" t="str">
        <f>IFERROR(VLOOKUP(C62,Sheet2!$A$1:$C$114,3,FALSE),"")</f>
        <v/>
      </c>
      <c r="Q62" t="str">
        <f>IFERROR(VLOOKUP(D62,Sheet2!$A$1:$C$114,3,FALSE),"")</f>
        <v/>
      </c>
    </row>
    <row r="63" spans="1:17" ht="13.5" customHeight="1">
      <c r="A63" s="1" t="str">
        <f>IFERROR(VLOOKUP(A17,中介表!$A$1:$C$20,2,FALSE),"")</f>
        <v>黑无常</v>
      </c>
      <c r="B63" s="1" t="str">
        <f>IFERROR(VLOOKUP(B17,中介表!$A$1:$C$20,2,FALSE),"")</f>
        <v>赤脚大仙</v>
      </c>
      <c r="C63" s="1" t="str">
        <f>IFERROR(VLOOKUP(C17,中介表!$A$1:$C$20,2,FALSE),"")</f>
        <v/>
      </c>
      <c r="D63" s="1" t="str">
        <f>IFERROR(VLOOKUP(D17,中介表!$A$1:$C$20,2,FALSE),"")</f>
        <v/>
      </c>
      <c r="E63" s="72">
        <f t="shared" si="11"/>
        <v>11126</v>
      </c>
      <c r="F63" s="71" t="s">
        <v>453</v>
      </c>
      <c r="G63" t="str">
        <f t="shared" si="10"/>
        <v>1219,1107</v>
      </c>
      <c r="H63" t="str">
        <f t="shared" si="12"/>
        <v>head_heiwuchang,head_chijiaodaxian</v>
      </c>
      <c r="J63">
        <f>IFERROR(VLOOKUP(A63,Sheet2!$A$1:$B$114,2,FALSE),"")</f>
        <v>1219</v>
      </c>
      <c r="K63">
        <f>IFERROR(VLOOKUP(B63,Sheet2!$A$1:$B$114,2,FALSE),"")</f>
        <v>1107</v>
      </c>
      <c r="L63" t="str">
        <f>IFERROR(VLOOKUP(C63,Sheet2!$A$1:$B$114,2,FALSE),"")</f>
        <v/>
      </c>
      <c r="M63" t="str">
        <f>IFERROR(VLOOKUP(D63,Sheet2!$A$1:$B$114,2,FALSE),"")</f>
        <v/>
      </c>
      <c r="N63" t="str">
        <f>IFERROR(VLOOKUP(A63,Sheet2!$A$1:$C$114,3,FALSE),"")</f>
        <v>head_heiwuchang</v>
      </c>
      <c r="O63" t="str">
        <f>IFERROR(VLOOKUP(B63,Sheet2!$A$1:$C$114,3,FALSE),"")</f>
        <v>head_chijiaodaxian</v>
      </c>
      <c r="P63" t="str">
        <f>IFERROR(VLOOKUP(C63,Sheet2!$A$1:$C$114,3,FALSE),"")</f>
        <v/>
      </c>
      <c r="Q63" t="str">
        <f>IFERROR(VLOOKUP(D63,Sheet2!$A$1:$C$114,3,FALSE),"")</f>
        <v/>
      </c>
    </row>
    <row r="64" spans="1:17" ht="13.5" customHeight="1">
      <c r="A64" s="1" t="str">
        <f>IFERROR(VLOOKUP(A18,中介表!$A$1:$C$20,2,FALSE),"")</f>
        <v>托塔天王</v>
      </c>
      <c r="B64" s="1" t="str">
        <f>IFERROR(VLOOKUP(B18,中介表!$A$1:$C$20,2,FALSE),"")</f>
        <v>东海龙王</v>
      </c>
      <c r="C64" s="1" t="str">
        <f>IFERROR(VLOOKUP(C18,中介表!$A$1:$C$20,2,FALSE),"")</f>
        <v/>
      </c>
      <c r="D64" s="1" t="str">
        <f>IFERROR(VLOOKUP(D18,中介表!$A$1:$C$20,2,FALSE),"")</f>
        <v/>
      </c>
      <c r="E64" s="72">
        <f t="shared" si="11"/>
        <v>11127</v>
      </c>
      <c r="F64" s="71" t="s">
        <v>454</v>
      </c>
      <c r="G64" t="str">
        <f t="shared" si="10"/>
        <v>1108,1135</v>
      </c>
      <c r="H64" t="str">
        <f t="shared" si="12"/>
        <v>head_tuotatianwang,head_donghailongwang</v>
      </c>
      <c r="J64">
        <f>IFERROR(VLOOKUP(A64,Sheet2!$A$1:$B$114,2,FALSE),"")</f>
        <v>1108</v>
      </c>
      <c r="K64">
        <f>IFERROR(VLOOKUP(B64,Sheet2!$A$1:$B$114,2,FALSE),"")</f>
        <v>1135</v>
      </c>
      <c r="L64" t="str">
        <f>IFERROR(VLOOKUP(C64,Sheet2!$A$1:$B$114,2,FALSE),"")</f>
        <v/>
      </c>
      <c r="M64" t="str">
        <f>IFERROR(VLOOKUP(D64,Sheet2!$A$1:$B$114,2,FALSE),"")</f>
        <v/>
      </c>
      <c r="N64" t="str">
        <f>IFERROR(VLOOKUP(A64,Sheet2!$A$1:$C$114,3,FALSE),"")</f>
        <v>head_tuotatianwang</v>
      </c>
      <c r="O64" t="str">
        <f>IFERROR(VLOOKUP(B64,Sheet2!$A$1:$C$114,3,FALSE),"")</f>
        <v>head_donghailongwang</v>
      </c>
      <c r="P64" t="str">
        <f>IFERROR(VLOOKUP(C64,Sheet2!$A$1:$C$114,3,FALSE),"")</f>
        <v/>
      </c>
      <c r="Q64" t="str">
        <f>IFERROR(VLOOKUP(D64,Sheet2!$A$1:$C$114,3,FALSE),"")</f>
        <v/>
      </c>
    </row>
    <row r="65" spans="1:17" ht="13.5" customHeight="1">
      <c r="A65" s="1" t="str">
        <f>IFERROR(VLOOKUP(A19,中介表!$A$1:$C$20,2,FALSE),"")</f>
        <v>黑无常</v>
      </c>
      <c r="B65" s="1" t="str">
        <f>IFERROR(VLOOKUP(B19,中介表!$A$1:$C$20,2,FALSE),"")</f>
        <v>东海龙王</v>
      </c>
      <c r="C65" s="1" t="str">
        <f>IFERROR(VLOOKUP(C19,中介表!$A$1:$C$20,2,FALSE),"")</f>
        <v/>
      </c>
      <c r="D65" s="1" t="str">
        <f>IFERROR(VLOOKUP(D19,中介表!$A$1:$C$20,2,FALSE),"")</f>
        <v/>
      </c>
      <c r="E65" s="72">
        <f t="shared" si="11"/>
        <v>11128</v>
      </c>
      <c r="F65" s="71" t="s">
        <v>455</v>
      </c>
      <c r="G65" t="str">
        <f t="shared" si="10"/>
        <v>1219,1135</v>
      </c>
      <c r="H65" t="str">
        <f t="shared" si="12"/>
        <v>head_heiwuchang,head_donghailongwang</v>
      </c>
      <c r="J65">
        <f>IFERROR(VLOOKUP(A65,Sheet2!$A$1:$B$114,2,FALSE),"")</f>
        <v>1219</v>
      </c>
      <c r="K65">
        <f>IFERROR(VLOOKUP(B65,Sheet2!$A$1:$B$114,2,FALSE),"")</f>
        <v>1135</v>
      </c>
      <c r="L65" t="str">
        <f>IFERROR(VLOOKUP(C65,Sheet2!$A$1:$B$114,2,FALSE),"")</f>
        <v/>
      </c>
      <c r="M65" t="str">
        <f>IFERROR(VLOOKUP(D65,Sheet2!$A$1:$B$114,2,FALSE),"")</f>
        <v/>
      </c>
      <c r="N65" t="str">
        <f>IFERROR(VLOOKUP(A65,Sheet2!$A$1:$C$114,3,FALSE),"")</f>
        <v>head_heiwuchang</v>
      </c>
      <c r="O65" t="str">
        <f>IFERROR(VLOOKUP(B65,Sheet2!$A$1:$C$114,3,FALSE),"")</f>
        <v>head_donghailongwang</v>
      </c>
      <c r="P65" t="str">
        <f>IFERROR(VLOOKUP(C65,Sheet2!$A$1:$C$114,3,FALSE),"")</f>
        <v/>
      </c>
      <c r="Q65" t="str">
        <f>IFERROR(VLOOKUP(D65,Sheet2!$A$1:$C$114,3,FALSE),"")</f>
        <v/>
      </c>
    </row>
    <row r="66" spans="1:17" ht="13.5" customHeight="1">
      <c r="A66" s="1" t="str">
        <f>IFERROR(VLOOKUP(A20,中介表!$A$1:$C$20,2,FALSE),"")</f>
        <v>托塔天王</v>
      </c>
      <c r="B66" s="1" t="str">
        <f>IFERROR(VLOOKUP(B20,中介表!$A$1:$C$20,2,FALSE),"")</f>
        <v>黑无常</v>
      </c>
      <c r="C66" s="1" t="str">
        <f>IFERROR(VLOOKUP(C20,中介表!$A$1:$C$20,2,FALSE),"")</f>
        <v/>
      </c>
      <c r="D66" s="1" t="str">
        <f>IFERROR(VLOOKUP(D20,中介表!$A$1:$C$20,2,FALSE),"")</f>
        <v/>
      </c>
      <c r="E66" s="72">
        <f t="shared" si="11"/>
        <v>11129</v>
      </c>
      <c r="F66" s="71" t="s">
        <v>456</v>
      </c>
      <c r="G66" t="str">
        <f t="shared" si="10"/>
        <v>1108,1219</v>
      </c>
      <c r="H66" t="str">
        <f t="shared" si="12"/>
        <v>head_tuotatianwang,head_heiwuchang</v>
      </c>
      <c r="J66">
        <f>IFERROR(VLOOKUP(A66,Sheet2!$A$1:$B$114,2,FALSE),"")</f>
        <v>1108</v>
      </c>
      <c r="K66">
        <f>IFERROR(VLOOKUP(B66,Sheet2!$A$1:$B$114,2,FALSE),"")</f>
        <v>1219</v>
      </c>
      <c r="L66" t="str">
        <f>IFERROR(VLOOKUP(C66,Sheet2!$A$1:$B$114,2,FALSE),"")</f>
        <v/>
      </c>
      <c r="M66" t="str">
        <f>IFERROR(VLOOKUP(D66,Sheet2!$A$1:$B$114,2,FALSE),"")</f>
        <v/>
      </c>
      <c r="N66" t="str">
        <f>IFERROR(VLOOKUP(A66,Sheet2!$A$1:$C$114,3,FALSE),"")</f>
        <v>head_tuotatianwang</v>
      </c>
      <c r="O66" t="str">
        <f>IFERROR(VLOOKUP(B66,Sheet2!$A$1:$C$114,3,FALSE),"")</f>
        <v>head_heiwuchang</v>
      </c>
      <c r="P66" t="str">
        <f>IFERROR(VLOOKUP(C66,Sheet2!$A$1:$C$114,3,FALSE),"")</f>
        <v/>
      </c>
      <c r="Q66" t="str">
        <f>IFERROR(VLOOKUP(D66,Sheet2!$A$1:$C$114,3,FALSE),"")</f>
        <v/>
      </c>
    </row>
    <row r="67" spans="1:17" ht="13.5" customHeight="1">
      <c r="A67" s="1" t="str">
        <f>IFERROR(VLOOKUP(A21,中介表!$A$1:$C$20,2,FALSE),"")</f>
        <v>二郎神</v>
      </c>
      <c r="B67" s="1" t="str">
        <f>IFERROR(VLOOKUP(B21,中介表!$A$1:$C$20,2,FALSE),"")</f>
        <v>玉皇大帝</v>
      </c>
      <c r="C67" s="1" t="str">
        <f>IFERROR(VLOOKUP(C21,中介表!$A$1:$C$20,2,FALSE),"")</f>
        <v/>
      </c>
      <c r="D67" s="1" t="str">
        <f>IFERROR(VLOOKUP(D21,中介表!$A$1:$C$20,2,FALSE),"")</f>
        <v/>
      </c>
      <c r="E67" s="72">
        <f t="shared" si="11"/>
        <v>11130</v>
      </c>
      <c r="F67" s="71" t="s">
        <v>457</v>
      </c>
      <c r="G67" t="str">
        <f t="shared" si="10"/>
        <v>1101,1104</v>
      </c>
      <c r="H67" t="str">
        <f t="shared" si="12"/>
        <v>head_erlangshen,head_yuhuangdadi</v>
      </c>
      <c r="J67">
        <f>IFERROR(VLOOKUP(A67,Sheet2!$A$1:$B$114,2,FALSE),"")</f>
        <v>1101</v>
      </c>
      <c r="K67">
        <f>IFERROR(VLOOKUP(B67,Sheet2!$A$1:$B$114,2,FALSE),"")</f>
        <v>1104</v>
      </c>
      <c r="L67" t="str">
        <f>IFERROR(VLOOKUP(C67,Sheet2!$A$1:$B$114,2,FALSE),"")</f>
        <v/>
      </c>
      <c r="M67" t="str">
        <f>IFERROR(VLOOKUP(D67,Sheet2!$A$1:$B$114,2,FALSE),"")</f>
        <v/>
      </c>
      <c r="N67" t="str">
        <f>IFERROR(VLOOKUP(A67,Sheet2!$A$1:$C$114,3,FALSE),"")</f>
        <v>head_erlangshen</v>
      </c>
      <c r="O67" t="str">
        <f>IFERROR(VLOOKUP(B67,Sheet2!$A$1:$C$114,3,FALSE),"")</f>
        <v>head_yuhuangdadi</v>
      </c>
      <c r="P67" t="str">
        <f>IFERROR(VLOOKUP(C67,Sheet2!$A$1:$C$114,3,FALSE),"")</f>
        <v/>
      </c>
      <c r="Q67" t="str">
        <f>IFERROR(VLOOKUP(D67,Sheet2!$A$1:$C$114,3,FALSE),"")</f>
        <v/>
      </c>
    </row>
    <row r="68" spans="1:17" ht="13.5" customHeight="1">
      <c r="A68" s="1" t="str">
        <f>IFERROR(VLOOKUP(A22,中介表!$A$1:$C$20,2,FALSE),"")</f>
        <v>哪吒</v>
      </c>
      <c r="B68" s="1" t="str">
        <f>IFERROR(VLOOKUP(B22,中介表!$A$1:$C$20,2,FALSE),"")</f>
        <v>玉皇大帝</v>
      </c>
      <c r="C68" s="1" t="str">
        <f>IFERROR(VLOOKUP(C22,中介表!$A$1:$C$20,2,FALSE),"")</f>
        <v/>
      </c>
      <c r="D68" s="1" t="str">
        <f>IFERROR(VLOOKUP(D22,中介表!$A$1:$C$20,2,FALSE),"")</f>
        <v/>
      </c>
      <c r="E68" s="72">
        <f t="shared" si="11"/>
        <v>11131</v>
      </c>
      <c r="F68" s="71" t="s">
        <v>458</v>
      </c>
      <c r="G68" t="str">
        <f t="shared" si="10"/>
        <v>1102,1104</v>
      </c>
      <c r="H68" t="str">
        <f t="shared" si="12"/>
        <v>head_nezha,head_yuhuangdadi</v>
      </c>
      <c r="J68">
        <f>IFERROR(VLOOKUP(A68,Sheet2!$A$1:$B$114,2,FALSE),"")</f>
        <v>1102</v>
      </c>
      <c r="K68">
        <f>IFERROR(VLOOKUP(B68,Sheet2!$A$1:$B$114,2,FALSE),"")</f>
        <v>1104</v>
      </c>
      <c r="L68" t="str">
        <f>IFERROR(VLOOKUP(C68,Sheet2!$A$1:$B$114,2,FALSE),"")</f>
        <v/>
      </c>
      <c r="M68" t="str">
        <f>IFERROR(VLOOKUP(D68,Sheet2!$A$1:$B$114,2,FALSE),"")</f>
        <v/>
      </c>
      <c r="N68" t="str">
        <f>IFERROR(VLOOKUP(A68,Sheet2!$A$1:$C$114,3,FALSE),"")</f>
        <v>head_nezha</v>
      </c>
      <c r="O68" t="str">
        <f>IFERROR(VLOOKUP(B68,Sheet2!$A$1:$C$114,3,FALSE),"")</f>
        <v>head_yuhuangdadi</v>
      </c>
      <c r="P68" t="str">
        <f>IFERROR(VLOOKUP(C68,Sheet2!$A$1:$C$114,3,FALSE),"")</f>
        <v/>
      </c>
      <c r="Q68" t="str">
        <f>IFERROR(VLOOKUP(D68,Sheet2!$A$1:$C$114,3,FALSE),"")</f>
        <v/>
      </c>
    </row>
    <row r="69" spans="1:17" ht="13.5" customHeight="1">
      <c r="A69" s="1" t="str">
        <f>IFERROR(VLOOKUP(A23,中介表!$A$1:$C$20,2,FALSE),"")</f>
        <v>王母娘娘</v>
      </c>
      <c r="B69" s="1" t="str">
        <f>IFERROR(VLOOKUP(B23,中介表!$A$1:$C$20,2,FALSE),"")</f>
        <v>阎罗王</v>
      </c>
      <c r="C69" s="1" t="str">
        <f>IFERROR(VLOOKUP(C23,中介表!$A$1:$C$20,2,FALSE),"")</f>
        <v/>
      </c>
      <c r="D69" s="1" t="str">
        <f>IFERROR(VLOOKUP(D23,中介表!$A$1:$C$20,2,FALSE),"")</f>
        <v/>
      </c>
      <c r="E69" s="72">
        <f t="shared" si="11"/>
        <v>11132</v>
      </c>
      <c r="F69" s="71" t="s">
        <v>459</v>
      </c>
      <c r="G69" t="str">
        <f t="shared" si="10"/>
        <v>1105,1201</v>
      </c>
      <c r="H69" t="str">
        <f t="shared" si="12"/>
        <v>head_wangmuniangniang,head_yanluowang</v>
      </c>
      <c r="J69">
        <f>IFERROR(VLOOKUP(A69,Sheet2!$A$1:$B$114,2,FALSE),"")</f>
        <v>1105</v>
      </c>
      <c r="K69">
        <f>IFERROR(VLOOKUP(B69,Sheet2!$A$1:$B$114,2,FALSE),"")</f>
        <v>1201</v>
      </c>
      <c r="L69" t="str">
        <f>IFERROR(VLOOKUP(C69,Sheet2!$A$1:$B$114,2,FALSE),"")</f>
        <v/>
      </c>
      <c r="M69" t="str">
        <f>IFERROR(VLOOKUP(D69,Sheet2!$A$1:$B$114,2,FALSE),"")</f>
        <v/>
      </c>
      <c r="N69" t="str">
        <f>IFERROR(VLOOKUP(A69,Sheet2!$A$1:$C$114,3,FALSE),"")</f>
        <v>head_wangmuniangniang</v>
      </c>
      <c r="O69" t="str">
        <f>IFERROR(VLOOKUP(B69,Sheet2!$A$1:$C$114,3,FALSE),"")</f>
        <v>head_yanluowang</v>
      </c>
      <c r="P69" t="str">
        <f>IFERROR(VLOOKUP(C69,Sheet2!$A$1:$C$114,3,FALSE),"")</f>
        <v/>
      </c>
      <c r="Q69" t="str">
        <f>IFERROR(VLOOKUP(D69,Sheet2!$A$1:$C$114,3,FALSE),"")</f>
        <v/>
      </c>
    </row>
    <row r="70" spans="1:17" ht="13.5" customHeight="1">
      <c r="A70" s="1" t="str">
        <f>IFERROR(VLOOKUP(A24,中介表!$A$1:$C$20,2,FALSE),"")</f>
        <v>白无常</v>
      </c>
      <c r="B70" s="1" t="str">
        <f>IFERROR(VLOOKUP(B24,中介表!$A$1:$C$20,2,FALSE),"")</f>
        <v>阎罗王</v>
      </c>
      <c r="C70" s="1" t="str">
        <f>IFERROR(VLOOKUP(C24,中介表!$A$1:$C$20,2,FALSE),"")</f>
        <v/>
      </c>
      <c r="D70" s="1" t="str">
        <f>IFERROR(VLOOKUP(D24,中介表!$A$1:$C$20,2,FALSE),"")</f>
        <v/>
      </c>
      <c r="E70" s="72">
        <f t="shared" si="11"/>
        <v>11133</v>
      </c>
      <c r="F70" s="71" t="s">
        <v>460</v>
      </c>
      <c r="G70" t="str">
        <f t="shared" si="10"/>
        <v>1218,1201</v>
      </c>
      <c r="H70" t="str">
        <f t="shared" si="12"/>
        <v>head_baiwuchang,head_yanluowang</v>
      </c>
      <c r="J70">
        <f>IFERROR(VLOOKUP(A70,Sheet2!$A$1:$B$114,2,FALSE),"")</f>
        <v>1218</v>
      </c>
      <c r="K70">
        <f>IFERROR(VLOOKUP(B70,Sheet2!$A$1:$B$114,2,FALSE),"")</f>
        <v>1201</v>
      </c>
      <c r="L70" t="str">
        <f>IFERROR(VLOOKUP(C70,Sheet2!$A$1:$B$114,2,FALSE),"")</f>
        <v/>
      </c>
      <c r="M70" t="str">
        <f>IFERROR(VLOOKUP(D70,Sheet2!$A$1:$B$114,2,FALSE),"")</f>
        <v/>
      </c>
      <c r="N70" t="str">
        <f>IFERROR(VLOOKUP(A70,Sheet2!$A$1:$C$114,3,FALSE),"")</f>
        <v>head_baiwuchang</v>
      </c>
      <c r="O70" t="str">
        <f>IFERROR(VLOOKUP(B70,Sheet2!$A$1:$C$114,3,FALSE),"")</f>
        <v>head_yanluowang</v>
      </c>
      <c r="P70" t="str">
        <f>IFERROR(VLOOKUP(C70,Sheet2!$A$1:$C$114,3,FALSE),"")</f>
        <v/>
      </c>
      <c r="Q70" t="str">
        <f>IFERROR(VLOOKUP(D70,Sheet2!$A$1:$C$114,3,FALSE),"")</f>
        <v/>
      </c>
    </row>
    <row r="71" spans="1:17" ht="13.5" customHeight="1">
      <c r="A71" s="1" t="str">
        <f>IFERROR(VLOOKUP(A25,中介表!$A$1:$C$20,2,FALSE),"")</f>
        <v>二郎神</v>
      </c>
      <c r="B71" s="1" t="str">
        <f>IFERROR(VLOOKUP(B25,中介表!$A$1:$C$20,2,FALSE),"")</f>
        <v>小白龙</v>
      </c>
      <c r="C71" s="1" t="str">
        <f>IFERROR(VLOOKUP(C25,中介表!$A$1:$C$20,2,FALSE),"")</f>
        <v/>
      </c>
      <c r="D71" s="1" t="str">
        <f>IFERROR(VLOOKUP(D25,中介表!$A$1:$C$20,2,FALSE),"")</f>
        <v/>
      </c>
      <c r="E71" s="72">
        <f t="shared" si="11"/>
        <v>11134</v>
      </c>
      <c r="F71" s="71" t="s">
        <v>461</v>
      </c>
      <c r="G71" t="str">
        <f t="shared" si="10"/>
        <v>1101,1123</v>
      </c>
      <c r="H71" t="str">
        <f t="shared" si="12"/>
        <v>head_erlangshen,head_xiaobailong</v>
      </c>
      <c r="J71">
        <f>IFERROR(VLOOKUP(A71,Sheet2!$A$1:$B$114,2,FALSE),"")</f>
        <v>1101</v>
      </c>
      <c r="K71">
        <f>IFERROR(VLOOKUP(B71,Sheet2!$A$1:$B$114,2,FALSE),"")</f>
        <v>1123</v>
      </c>
      <c r="L71" t="str">
        <f>IFERROR(VLOOKUP(C71,Sheet2!$A$1:$B$114,2,FALSE),"")</f>
        <v/>
      </c>
      <c r="M71" t="str">
        <f>IFERROR(VLOOKUP(D71,Sheet2!$A$1:$B$114,2,FALSE),"")</f>
        <v/>
      </c>
      <c r="N71" t="str">
        <f>IFERROR(VLOOKUP(A71,Sheet2!$A$1:$C$114,3,FALSE),"")</f>
        <v>head_erlangshen</v>
      </c>
      <c r="O71" t="str">
        <f>IFERROR(VLOOKUP(B71,Sheet2!$A$1:$C$114,3,FALSE),"")</f>
        <v>head_xiaobailong</v>
      </c>
      <c r="P71" t="str">
        <f>IFERROR(VLOOKUP(C71,Sheet2!$A$1:$C$114,3,FALSE),"")</f>
        <v/>
      </c>
      <c r="Q71" t="str">
        <f>IFERROR(VLOOKUP(D71,Sheet2!$A$1:$C$114,3,FALSE),"")</f>
        <v/>
      </c>
    </row>
    <row r="72" spans="1:17" ht="13.5" customHeight="1">
      <c r="A72" s="1" t="str">
        <f>IFERROR(VLOOKUP(A26,中介表!$A$1:$C$20,2,FALSE),"")</f>
        <v>哪吒</v>
      </c>
      <c r="B72" s="1" t="str">
        <f>IFERROR(VLOOKUP(B26,中介表!$A$1:$C$20,2,FALSE),"")</f>
        <v>小白龙</v>
      </c>
      <c r="C72" s="1" t="str">
        <f>IFERROR(VLOOKUP(C26,中介表!$A$1:$C$20,2,FALSE),"")</f>
        <v/>
      </c>
      <c r="D72" s="1" t="str">
        <f>IFERROR(VLOOKUP(D26,中介表!$A$1:$C$20,2,FALSE),"")</f>
        <v/>
      </c>
      <c r="E72" s="72">
        <f t="shared" si="11"/>
        <v>11135</v>
      </c>
      <c r="F72" s="71" t="s">
        <v>462</v>
      </c>
      <c r="G72" t="str">
        <f t="shared" si="10"/>
        <v>1102,1123</v>
      </c>
      <c r="H72" t="str">
        <f t="shared" si="12"/>
        <v>head_nezha,head_xiaobailong</v>
      </c>
      <c r="J72">
        <f>IFERROR(VLOOKUP(A72,Sheet2!$A$1:$B$114,2,FALSE),"")</f>
        <v>1102</v>
      </c>
      <c r="K72">
        <f>IFERROR(VLOOKUP(B72,Sheet2!$A$1:$B$114,2,FALSE),"")</f>
        <v>1123</v>
      </c>
      <c r="L72" t="str">
        <f>IFERROR(VLOOKUP(C72,Sheet2!$A$1:$B$114,2,FALSE),"")</f>
        <v/>
      </c>
      <c r="M72" t="str">
        <f>IFERROR(VLOOKUP(D72,Sheet2!$A$1:$B$114,2,FALSE),"")</f>
        <v/>
      </c>
      <c r="N72" t="str">
        <f>IFERROR(VLOOKUP(A72,Sheet2!$A$1:$C$114,3,FALSE),"")</f>
        <v>head_nezha</v>
      </c>
      <c r="O72" t="str">
        <f>IFERROR(VLOOKUP(B72,Sheet2!$A$1:$C$114,3,FALSE),"")</f>
        <v>head_xiaobailong</v>
      </c>
      <c r="P72" t="str">
        <f>IFERROR(VLOOKUP(C72,Sheet2!$A$1:$C$114,3,FALSE),"")</f>
        <v/>
      </c>
      <c r="Q72" t="str">
        <f>IFERROR(VLOOKUP(D72,Sheet2!$A$1:$C$114,3,FALSE),"")</f>
        <v/>
      </c>
    </row>
    <row r="73" spans="1:17" ht="13.5" customHeight="1">
      <c r="A73" s="1" t="str">
        <f>IFERROR(VLOOKUP(A27,中介表!$A$1:$C$20,2,FALSE),"")</f>
        <v>王母娘娘</v>
      </c>
      <c r="B73" s="1" t="str">
        <f>IFERROR(VLOOKUP(B27,中介表!$A$1:$C$20,2,FALSE),"")</f>
        <v>太白金星</v>
      </c>
      <c r="C73" s="1" t="str">
        <f>IFERROR(VLOOKUP(C27,中介表!$A$1:$C$20,2,FALSE),"")</f>
        <v/>
      </c>
      <c r="D73" s="1" t="str">
        <f>IFERROR(VLOOKUP(D27,中介表!$A$1:$C$20,2,FALSE),"")</f>
        <v/>
      </c>
      <c r="E73" s="72">
        <f t="shared" si="11"/>
        <v>11136</v>
      </c>
      <c r="F73" s="71" t="s">
        <v>463</v>
      </c>
      <c r="G73" t="str">
        <f t="shared" si="10"/>
        <v>1105,1106</v>
      </c>
      <c r="H73" t="str">
        <f t="shared" si="12"/>
        <v>head_wangmuniangniang,head_taibaijinxing</v>
      </c>
      <c r="J73">
        <f>IFERROR(VLOOKUP(A73,Sheet2!$A$1:$B$114,2,FALSE),"")</f>
        <v>1105</v>
      </c>
      <c r="K73">
        <f>IFERROR(VLOOKUP(B73,Sheet2!$A$1:$B$114,2,FALSE),"")</f>
        <v>1106</v>
      </c>
      <c r="L73" t="str">
        <f>IFERROR(VLOOKUP(C73,Sheet2!$A$1:$B$114,2,FALSE),"")</f>
        <v/>
      </c>
      <c r="M73" t="str">
        <f>IFERROR(VLOOKUP(D73,Sheet2!$A$1:$B$114,2,FALSE),"")</f>
        <v/>
      </c>
      <c r="N73" t="str">
        <f>IFERROR(VLOOKUP(A73,Sheet2!$A$1:$C$114,3,FALSE),"")</f>
        <v>head_wangmuniangniang</v>
      </c>
      <c r="O73" t="str">
        <f>IFERROR(VLOOKUP(B73,Sheet2!$A$1:$C$114,3,FALSE),"")</f>
        <v>head_taibaijinxing</v>
      </c>
      <c r="P73" t="str">
        <f>IFERROR(VLOOKUP(C73,Sheet2!$A$1:$C$114,3,FALSE),"")</f>
        <v/>
      </c>
      <c r="Q73" t="str">
        <f>IFERROR(VLOOKUP(D73,Sheet2!$A$1:$C$114,3,FALSE),"")</f>
        <v/>
      </c>
    </row>
    <row r="74" spans="1:17" ht="13.5" customHeight="1">
      <c r="A74" s="1" t="str">
        <f>IFERROR(VLOOKUP(A28,中介表!$A$1:$C$20,2,FALSE),"")</f>
        <v>白无常</v>
      </c>
      <c r="B74" s="1" t="str">
        <f>IFERROR(VLOOKUP(B28,中介表!$A$1:$C$20,2,FALSE),"")</f>
        <v>太白金星</v>
      </c>
      <c r="C74" s="1" t="str">
        <f>IFERROR(VLOOKUP(C28,中介表!$A$1:$C$20,2,FALSE),"")</f>
        <v/>
      </c>
      <c r="D74" s="1" t="str">
        <f>IFERROR(VLOOKUP(D28,中介表!$A$1:$C$20,2,FALSE),"")</f>
        <v/>
      </c>
      <c r="E74" s="72">
        <f t="shared" si="11"/>
        <v>11137</v>
      </c>
      <c r="F74" s="71" t="s">
        <v>464</v>
      </c>
      <c r="G74" t="str">
        <f t="shared" si="10"/>
        <v>1218,1106</v>
      </c>
      <c r="H74" t="str">
        <f t="shared" si="12"/>
        <v>head_baiwuchang,head_taibaijinxing</v>
      </c>
      <c r="J74">
        <f>IFERROR(VLOOKUP(A74,Sheet2!$A$1:$B$114,2,FALSE),"")</f>
        <v>1218</v>
      </c>
      <c r="K74">
        <f>IFERROR(VLOOKUP(B74,Sheet2!$A$1:$B$114,2,FALSE),"")</f>
        <v>1106</v>
      </c>
      <c r="L74" t="str">
        <f>IFERROR(VLOOKUP(C74,Sheet2!$A$1:$B$114,2,FALSE),"")</f>
        <v/>
      </c>
      <c r="M74" t="str">
        <f>IFERROR(VLOOKUP(D74,Sheet2!$A$1:$B$114,2,FALSE),"")</f>
        <v/>
      </c>
      <c r="N74" t="str">
        <f>IFERROR(VLOOKUP(A74,Sheet2!$A$1:$C$114,3,FALSE),"")</f>
        <v>head_baiwuchang</v>
      </c>
      <c r="O74" t="str">
        <f>IFERROR(VLOOKUP(B74,Sheet2!$A$1:$C$114,3,FALSE),"")</f>
        <v>head_taibaijinxing</v>
      </c>
      <c r="P74" t="str">
        <f>IFERROR(VLOOKUP(C74,Sheet2!$A$1:$C$114,3,FALSE),"")</f>
        <v/>
      </c>
      <c r="Q74" t="str">
        <f>IFERROR(VLOOKUP(D74,Sheet2!$A$1:$C$114,3,FALSE),"")</f>
        <v/>
      </c>
    </row>
    <row r="75" spans="1:17" ht="13.5" customHeight="1">
      <c r="A75" s="1" t="str">
        <f>IFERROR(VLOOKUP(A29,中介表!$A$1:$C$20,2,FALSE),"")</f>
        <v>二郎神</v>
      </c>
      <c r="B75" s="1" t="str">
        <f>IFERROR(VLOOKUP(B29,中介表!$A$1:$C$20,2,FALSE),"")</f>
        <v>赤脚大仙</v>
      </c>
      <c r="C75" s="1" t="str">
        <f>IFERROR(VLOOKUP(C29,中介表!$A$1:$C$20,2,FALSE),"")</f>
        <v/>
      </c>
      <c r="D75" s="1" t="str">
        <f>IFERROR(VLOOKUP(D29,中介表!$A$1:$C$20,2,FALSE),"")</f>
        <v/>
      </c>
      <c r="E75" s="72">
        <f t="shared" si="11"/>
        <v>11138</v>
      </c>
      <c r="F75" s="71" t="s">
        <v>465</v>
      </c>
      <c r="G75" t="str">
        <f t="shared" si="10"/>
        <v>1101,1107</v>
      </c>
      <c r="H75" t="str">
        <f t="shared" si="12"/>
        <v>head_erlangshen,head_chijiaodaxian</v>
      </c>
      <c r="J75">
        <f>IFERROR(VLOOKUP(A75,Sheet2!$A$1:$B$114,2,FALSE),"")</f>
        <v>1101</v>
      </c>
      <c r="K75">
        <f>IFERROR(VLOOKUP(B75,Sheet2!$A$1:$B$114,2,FALSE),"")</f>
        <v>1107</v>
      </c>
      <c r="L75" t="str">
        <f>IFERROR(VLOOKUP(C75,Sheet2!$A$1:$B$114,2,FALSE),"")</f>
        <v/>
      </c>
      <c r="M75" t="str">
        <f>IFERROR(VLOOKUP(D75,Sheet2!$A$1:$B$114,2,FALSE),"")</f>
        <v/>
      </c>
      <c r="N75" t="str">
        <f>IFERROR(VLOOKUP(A75,Sheet2!$A$1:$C$114,3,FALSE),"")</f>
        <v>head_erlangshen</v>
      </c>
      <c r="O75" t="str">
        <f>IFERROR(VLOOKUP(B75,Sheet2!$A$1:$C$114,3,FALSE),"")</f>
        <v>head_chijiaodaxian</v>
      </c>
      <c r="P75" t="str">
        <f>IFERROR(VLOOKUP(C75,Sheet2!$A$1:$C$114,3,FALSE),"")</f>
        <v/>
      </c>
      <c r="Q75" t="str">
        <f>IFERROR(VLOOKUP(D75,Sheet2!$A$1:$C$114,3,FALSE),"")</f>
        <v/>
      </c>
    </row>
    <row r="76" spans="1:17" ht="13.5" customHeight="1">
      <c r="A76" s="1" t="str">
        <f>IFERROR(VLOOKUP(A30,中介表!$A$1:$C$20,2,FALSE),"")</f>
        <v>王母娘娘</v>
      </c>
      <c r="B76" s="1" t="str">
        <f>IFERROR(VLOOKUP(B30,中介表!$A$1:$C$20,2,FALSE),"")</f>
        <v>东海龙王</v>
      </c>
      <c r="C76" s="1" t="str">
        <f>IFERROR(VLOOKUP(C30,中介表!$A$1:$C$20,2,FALSE),"")</f>
        <v/>
      </c>
      <c r="D76" s="1" t="str">
        <f>IFERROR(VLOOKUP(D30,中介表!$A$1:$C$20,2,FALSE),"")</f>
        <v/>
      </c>
      <c r="E76" s="72">
        <f t="shared" si="11"/>
        <v>11139</v>
      </c>
      <c r="F76" s="71" t="s">
        <v>466</v>
      </c>
      <c r="G76" t="str">
        <f t="shared" si="10"/>
        <v>1105,1135</v>
      </c>
      <c r="H76" t="str">
        <f t="shared" si="12"/>
        <v>head_wangmuniangniang,head_donghailongwang</v>
      </c>
      <c r="J76">
        <f>IFERROR(VLOOKUP(A76,Sheet2!$A$1:$B$114,2,FALSE),"")</f>
        <v>1105</v>
      </c>
      <c r="K76">
        <f>IFERROR(VLOOKUP(B76,Sheet2!$A$1:$B$114,2,FALSE),"")</f>
        <v>1135</v>
      </c>
      <c r="L76" t="str">
        <f>IFERROR(VLOOKUP(C76,Sheet2!$A$1:$B$114,2,FALSE),"")</f>
        <v/>
      </c>
      <c r="M76" t="str">
        <f>IFERROR(VLOOKUP(D76,Sheet2!$A$1:$B$114,2,FALSE),"")</f>
        <v/>
      </c>
      <c r="N76" t="str">
        <f>IFERROR(VLOOKUP(A76,Sheet2!$A$1:$C$114,3,FALSE),"")</f>
        <v>head_wangmuniangniang</v>
      </c>
      <c r="O76" t="str">
        <f>IFERROR(VLOOKUP(B76,Sheet2!$A$1:$C$114,3,FALSE),"")</f>
        <v>head_donghailongwang</v>
      </c>
      <c r="P76" t="str">
        <f>IFERROR(VLOOKUP(C76,Sheet2!$A$1:$C$114,3,FALSE),"")</f>
        <v/>
      </c>
      <c r="Q76" t="str">
        <f>IFERROR(VLOOKUP(D76,Sheet2!$A$1:$C$114,3,FALSE),"")</f>
        <v/>
      </c>
    </row>
    <row r="77" spans="1:17" ht="13.5" customHeight="1">
      <c r="A77" s="1" t="str">
        <f>IFERROR(VLOOKUP(A31,中介表!$A$1:$C$20,2,FALSE),"")</f>
        <v>哪吒</v>
      </c>
      <c r="B77" s="1" t="str">
        <f>IFERROR(VLOOKUP(B31,中介表!$A$1:$C$20,2,FALSE),"")</f>
        <v>太白金星</v>
      </c>
      <c r="C77" s="1" t="str">
        <f>IFERROR(VLOOKUP(C31,中介表!$A$1:$C$20,2,FALSE),"")</f>
        <v/>
      </c>
      <c r="D77" s="1" t="str">
        <f>IFERROR(VLOOKUP(D31,中介表!$A$1:$C$20,2,FALSE),"")</f>
        <v/>
      </c>
      <c r="E77" s="72">
        <f t="shared" si="11"/>
        <v>11140</v>
      </c>
      <c r="F77" s="71" t="s">
        <v>467</v>
      </c>
      <c r="G77" t="str">
        <f t="shared" si="10"/>
        <v>1102,1106</v>
      </c>
      <c r="H77" t="str">
        <f t="shared" si="12"/>
        <v>head_nezha,head_taibaijinxing</v>
      </c>
      <c r="J77">
        <f>IFERROR(VLOOKUP(A77,Sheet2!$A$1:$B$114,2,FALSE),"")</f>
        <v>1102</v>
      </c>
      <c r="K77">
        <f>IFERROR(VLOOKUP(B77,Sheet2!$A$1:$B$114,2,FALSE),"")</f>
        <v>1106</v>
      </c>
      <c r="L77" t="str">
        <f>IFERROR(VLOOKUP(C77,Sheet2!$A$1:$B$114,2,FALSE),"")</f>
        <v/>
      </c>
      <c r="M77" t="str">
        <f>IFERROR(VLOOKUP(D77,Sheet2!$A$1:$B$114,2,FALSE),"")</f>
        <v/>
      </c>
      <c r="N77" t="str">
        <f>IFERROR(VLOOKUP(A77,Sheet2!$A$1:$C$114,3,FALSE),"")</f>
        <v>head_nezha</v>
      </c>
      <c r="O77" t="str">
        <f>IFERROR(VLOOKUP(B77,Sheet2!$A$1:$C$114,3,FALSE),"")</f>
        <v>head_taibaijinxing</v>
      </c>
      <c r="P77" t="str">
        <f>IFERROR(VLOOKUP(C77,Sheet2!$A$1:$C$114,3,FALSE),"")</f>
        <v/>
      </c>
      <c r="Q77" t="str">
        <f>IFERROR(VLOOKUP(D77,Sheet2!$A$1:$C$114,3,FALSE),"")</f>
        <v/>
      </c>
    </row>
    <row r="78" spans="1:17" ht="13.5" customHeight="1">
      <c r="A78" s="1" t="str">
        <f>IFERROR(VLOOKUP(A32,中介表!$A$1:$C$20,2,FALSE),"")</f>
        <v>白无常</v>
      </c>
      <c r="B78" s="1" t="str">
        <f>IFERROR(VLOOKUP(B32,中介表!$A$1:$C$20,2,FALSE),"")</f>
        <v>玉皇大帝</v>
      </c>
      <c r="C78" s="1" t="str">
        <f>IFERROR(VLOOKUP(C32,中介表!$A$1:$C$20,2,FALSE),"")</f>
        <v/>
      </c>
      <c r="D78" s="1" t="str">
        <f>IFERROR(VLOOKUP(D32,中介表!$A$1:$C$20,2,FALSE),"")</f>
        <v/>
      </c>
      <c r="E78" s="72">
        <f t="shared" si="11"/>
        <v>11141</v>
      </c>
      <c r="F78" s="71" t="s">
        <v>468</v>
      </c>
      <c r="G78" t="str">
        <f t="shared" si="10"/>
        <v>1218,1104</v>
      </c>
      <c r="H78" t="str">
        <f t="shared" si="12"/>
        <v>head_baiwuchang,head_yuhuangdadi</v>
      </c>
      <c r="J78">
        <f>IFERROR(VLOOKUP(A78,Sheet2!$A$1:$B$114,2,FALSE),"")</f>
        <v>1218</v>
      </c>
      <c r="K78">
        <f>IFERROR(VLOOKUP(B78,Sheet2!$A$1:$B$114,2,FALSE),"")</f>
        <v>1104</v>
      </c>
      <c r="L78" t="str">
        <f>IFERROR(VLOOKUP(C78,Sheet2!$A$1:$B$114,2,FALSE),"")</f>
        <v/>
      </c>
      <c r="M78" t="str">
        <f>IFERROR(VLOOKUP(D78,Sheet2!$A$1:$B$114,2,FALSE),"")</f>
        <v/>
      </c>
      <c r="N78" t="str">
        <f>IFERROR(VLOOKUP(A78,Sheet2!$A$1:$C$114,3,FALSE),"")</f>
        <v>head_baiwuchang</v>
      </c>
      <c r="O78" t="str">
        <f>IFERROR(VLOOKUP(B78,Sheet2!$A$1:$C$114,3,FALSE),"")</f>
        <v>head_yuhuangdadi</v>
      </c>
      <c r="P78" t="str">
        <f>IFERROR(VLOOKUP(C78,Sheet2!$A$1:$C$114,3,FALSE),"")</f>
        <v/>
      </c>
      <c r="Q78" t="str">
        <f>IFERROR(VLOOKUP(D78,Sheet2!$A$1:$C$114,3,FALSE),"")</f>
        <v/>
      </c>
    </row>
    <row r="79" spans="1:17" ht="13.5" customHeight="1">
      <c r="A79" s="1" t="str">
        <f>IFERROR(VLOOKUP(A33,中介表!$A$1:$C$20,2,FALSE),"")</f>
        <v>阎罗王</v>
      </c>
      <c r="B79" s="1" t="str">
        <f>IFERROR(VLOOKUP(B33,中介表!$A$1:$C$20,2,FALSE),"")</f>
        <v>小白龙</v>
      </c>
      <c r="C79" s="1" t="str">
        <f>IFERROR(VLOOKUP(C33,中介表!$A$1:$C$20,2,FALSE),"")</f>
        <v/>
      </c>
      <c r="D79" s="1" t="str">
        <f>IFERROR(VLOOKUP(D33,中介表!$A$1:$C$20,2,FALSE),"")</f>
        <v/>
      </c>
      <c r="E79" s="72">
        <f t="shared" si="11"/>
        <v>11142</v>
      </c>
      <c r="F79" s="71" t="s">
        <v>469</v>
      </c>
      <c r="G79" t="str">
        <f t="shared" si="10"/>
        <v>1201,1123</v>
      </c>
      <c r="H79" t="str">
        <f t="shared" si="12"/>
        <v>head_yanluowang,head_xiaobailong</v>
      </c>
      <c r="J79">
        <f>IFERROR(VLOOKUP(A79,Sheet2!$A$1:$B$114,2,FALSE),"")</f>
        <v>1201</v>
      </c>
      <c r="K79">
        <f>IFERROR(VLOOKUP(B79,Sheet2!$A$1:$B$114,2,FALSE),"")</f>
        <v>1123</v>
      </c>
      <c r="L79" t="str">
        <f>IFERROR(VLOOKUP(C79,Sheet2!$A$1:$B$114,2,FALSE),"")</f>
        <v/>
      </c>
      <c r="M79" t="str">
        <f>IFERROR(VLOOKUP(D79,Sheet2!$A$1:$B$114,2,FALSE),"")</f>
        <v/>
      </c>
      <c r="N79" t="str">
        <f>IFERROR(VLOOKUP(A79,Sheet2!$A$1:$C$114,3,FALSE),"")</f>
        <v>head_yanluowang</v>
      </c>
      <c r="O79" t="str">
        <f>IFERROR(VLOOKUP(B79,Sheet2!$A$1:$C$114,3,FALSE),"")</f>
        <v>head_xiaobailong</v>
      </c>
      <c r="P79" t="str">
        <f>IFERROR(VLOOKUP(C79,Sheet2!$A$1:$C$114,3,FALSE),"")</f>
        <v/>
      </c>
      <c r="Q79" t="str">
        <f>IFERROR(VLOOKUP(D79,Sheet2!$A$1:$C$114,3,FALSE),"")</f>
        <v/>
      </c>
    </row>
    <row r="80" spans="1:17" ht="13.5" customHeight="1">
      <c r="A80" s="1" t="str">
        <f>IFERROR(VLOOKUP(A34,中介表!$A$1:$C$20,2,FALSE),"")</f>
        <v>嫦娥</v>
      </c>
      <c r="B80" s="1" t="str">
        <f>IFERROR(VLOOKUP(B34,中介表!$A$1:$C$20,2,FALSE),"")</f>
        <v>九天玄女</v>
      </c>
      <c r="C80" s="1" t="str">
        <f>IFERROR(VLOOKUP(C34,中介表!$A$1:$C$20,2,FALSE),"")</f>
        <v/>
      </c>
      <c r="D80" s="1" t="str">
        <f>IFERROR(VLOOKUP(D34,中介表!$A$1:$C$20,2,FALSE),"")</f>
        <v/>
      </c>
      <c r="E80" s="72">
        <f t="shared" si="11"/>
        <v>11143</v>
      </c>
      <c r="F80" s="71" t="s">
        <v>833</v>
      </c>
      <c r="G80" t="str">
        <f t="shared" si="10"/>
        <v>1103,1109</v>
      </c>
      <c r="H80" t="str">
        <f t="shared" si="12"/>
        <v>head_change,head_jiutianxuannv</v>
      </c>
      <c r="J80">
        <f>IFERROR(VLOOKUP(A80,Sheet2!$A$1:$B$114,2,FALSE),"")</f>
        <v>1103</v>
      </c>
      <c r="K80">
        <f>IFERROR(VLOOKUP(B80,Sheet2!$A$1:$B$114,2,FALSE),"")</f>
        <v>1109</v>
      </c>
      <c r="L80" t="str">
        <f>IFERROR(VLOOKUP(C80,Sheet2!$A$1:$B$114,2,FALSE),"")</f>
        <v/>
      </c>
      <c r="M80" t="str">
        <f>IFERROR(VLOOKUP(D80,Sheet2!$A$1:$B$114,2,FALSE),"")</f>
        <v/>
      </c>
      <c r="N80" t="str">
        <f>IFERROR(VLOOKUP(A80,Sheet2!$A$1:$C$114,3,FALSE),"")</f>
        <v>head_change</v>
      </c>
      <c r="O80" t="str">
        <f>IFERROR(VLOOKUP(B80,Sheet2!$A$1:$C$114,3,FALSE),"")</f>
        <v>head_jiutianxuannv</v>
      </c>
    </row>
    <row r="81" spans="1:17" ht="13.5" customHeight="1">
      <c r="A81" s="1" t="str">
        <f>IFERROR(VLOOKUP(A35,中介表!$A$1:$C$20,2,FALSE),"")</f>
        <v>泾河龙王</v>
      </c>
      <c r="B81" s="1" t="str">
        <f>IFERROR(VLOOKUP(B35,中介表!$A$1:$C$20,2,FALSE),"")</f>
        <v>雷公</v>
      </c>
      <c r="C81" s="1" t="str">
        <f>IFERROR(VLOOKUP(C35,中介表!$A$1:$C$20,2,FALSE),"")</f>
        <v>鬼使黑</v>
      </c>
      <c r="D81" s="1" t="str">
        <f>IFERROR(VLOOKUP(D35,中介表!$A$1:$C$20,2,FALSE),"")</f>
        <v/>
      </c>
      <c r="E81" s="72">
        <f t="shared" si="11"/>
        <v>11144</v>
      </c>
      <c r="F81" s="71" t="s">
        <v>470</v>
      </c>
      <c r="G81" t="str">
        <f t="shared" si="10"/>
        <v>1134,1133,1203</v>
      </c>
      <c r="H81" t="str">
        <f t="shared" si="12"/>
        <v>head_jinghelongwang,head_leigong,head_guishihei</v>
      </c>
      <c r="J81">
        <f>IFERROR(VLOOKUP(A81,Sheet2!$A$1:$B$114,2,FALSE),"")</f>
        <v>1134</v>
      </c>
      <c r="K81">
        <f>IFERROR(VLOOKUP(B81,Sheet2!$A$1:$B$114,2,FALSE),"")</f>
        <v>1133</v>
      </c>
      <c r="L81">
        <f>IFERROR(VLOOKUP(C81,Sheet2!$A$1:$B$114,2,FALSE),"")</f>
        <v>1203</v>
      </c>
      <c r="M81" t="str">
        <f>IFERROR(VLOOKUP(D81,Sheet2!$A$1:$B$114,2,FALSE),"")</f>
        <v/>
      </c>
      <c r="N81" t="str">
        <f>IFERROR(VLOOKUP(A81,Sheet2!$A$1:$C$114,3,FALSE),"")</f>
        <v>head_jinghelongwang</v>
      </c>
      <c r="O81" t="str">
        <f>IFERROR(VLOOKUP(B81,Sheet2!$A$1:$C$114,3,FALSE),"")</f>
        <v>head_leigong</v>
      </c>
      <c r="P81" t="str">
        <f>IFERROR(VLOOKUP(C81,Sheet2!$A$1:$C$114,3,FALSE),"")</f>
        <v>head_guishihei</v>
      </c>
      <c r="Q81" t="str">
        <f>IFERROR(VLOOKUP(D81,Sheet2!$A$1:$C$114,3,FALSE),"")</f>
        <v/>
      </c>
    </row>
    <row r="82" spans="1:17" ht="13.5" customHeight="1">
      <c r="A82" s="1" t="str">
        <f>IFERROR(VLOOKUP(A36,中介表!$A$1:$C$20,2,FALSE),"")</f>
        <v>鬼使白</v>
      </c>
      <c r="B82" s="1" t="str">
        <f>IFERROR(VLOOKUP(B36,中介表!$A$1:$C$20,2,FALSE),"")</f>
        <v>牛头</v>
      </c>
      <c r="C82" s="1" t="str">
        <f>IFERROR(VLOOKUP(C36,中介表!$A$1:$C$20,2,FALSE),"")</f>
        <v>马面</v>
      </c>
      <c r="D82" s="1" t="str">
        <f>IFERROR(VLOOKUP(D36,中介表!$A$1:$C$20,2,FALSE),"")</f>
        <v/>
      </c>
      <c r="E82" s="72">
        <f t="shared" si="11"/>
        <v>11145</v>
      </c>
      <c r="F82" s="71" t="s">
        <v>834</v>
      </c>
      <c r="G82" t="str">
        <f t="shared" si="10"/>
        <v>1204,1206,1205</v>
      </c>
      <c r="H82" t="str">
        <f t="shared" si="12"/>
        <v>head_guishibai,head_niutou,head_mamian</v>
      </c>
      <c r="J82">
        <f>IFERROR(VLOOKUP(A82,Sheet2!$A$1:$B$114,2,FALSE),"")</f>
        <v>1204</v>
      </c>
      <c r="K82">
        <f>IFERROR(VLOOKUP(B82,Sheet2!$A$1:$B$114,2,FALSE),"")</f>
        <v>1206</v>
      </c>
      <c r="L82">
        <f>IFERROR(VLOOKUP(C82,Sheet2!$A$1:$B$114,2,FALSE),"")</f>
        <v>1205</v>
      </c>
      <c r="M82" t="str">
        <f>IFERROR(VLOOKUP(D82,Sheet2!$A$1:$B$114,2,FALSE),"")</f>
        <v/>
      </c>
      <c r="N82" t="str">
        <f>IFERROR(VLOOKUP(A82,Sheet2!$A$1:$C$114,3,FALSE),"")</f>
        <v>head_guishibai</v>
      </c>
      <c r="O82" t="str">
        <f>IFERROR(VLOOKUP(B82,Sheet2!$A$1:$C$114,3,FALSE),"")</f>
        <v>head_niutou</v>
      </c>
      <c r="P82" t="str">
        <f>IFERROR(VLOOKUP(C82,Sheet2!$A$1:$C$114,3,FALSE),"")</f>
        <v>head_mamian</v>
      </c>
      <c r="Q82" t="str">
        <f>IFERROR(VLOOKUP(D82,Sheet2!$A$1:$C$114,3,FALSE),"")</f>
        <v/>
      </c>
    </row>
    <row r="83" spans="1:17" ht="13.5" customHeight="1">
      <c r="A83" s="1" t="str">
        <f>IFERROR(VLOOKUP(A37,中介表!$A$1:$C$20,2,FALSE),"")</f>
        <v>鬼使黑</v>
      </c>
      <c r="B83" s="1" t="str">
        <f>IFERROR(VLOOKUP(B37,中介表!$A$1:$C$20,2,FALSE),"")</f>
        <v>鬼使白</v>
      </c>
      <c r="C83" s="1" t="str">
        <f>IFERROR(VLOOKUP(C37,中介表!$A$1:$C$20,2,FALSE),"")</f>
        <v>牛头</v>
      </c>
      <c r="D83" s="1" t="str">
        <f>IFERROR(VLOOKUP(D37,中介表!$A$1:$C$20,2,FALSE),"")</f>
        <v/>
      </c>
      <c r="E83" s="72">
        <f t="shared" si="11"/>
        <v>11146</v>
      </c>
      <c r="F83" s="71" t="s">
        <v>471</v>
      </c>
      <c r="G83" t="str">
        <f t="shared" si="10"/>
        <v>1203,1204,1206</v>
      </c>
      <c r="H83" t="str">
        <f t="shared" si="12"/>
        <v>head_guishihei,head_guishibai,head_niutou</v>
      </c>
      <c r="J83">
        <f>IFERROR(VLOOKUP(A83,Sheet2!$A$1:$B$114,2,FALSE),"")</f>
        <v>1203</v>
      </c>
      <c r="K83">
        <f>IFERROR(VLOOKUP(B83,Sheet2!$A$1:$B$114,2,FALSE),"")</f>
        <v>1204</v>
      </c>
      <c r="L83">
        <f>IFERROR(VLOOKUP(C83,Sheet2!$A$1:$B$114,2,FALSE),"")</f>
        <v>1206</v>
      </c>
      <c r="M83" t="str">
        <f>IFERROR(VLOOKUP(D83,Sheet2!$A$1:$B$114,2,FALSE),"")</f>
        <v/>
      </c>
      <c r="N83" t="str">
        <f>IFERROR(VLOOKUP(A83,Sheet2!$A$1:$C$114,3,FALSE),"")</f>
        <v>head_guishihei</v>
      </c>
      <c r="O83" t="str">
        <f>IFERROR(VLOOKUP(B83,Sheet2!$A$1:$C$114,3,FALSE),"")</f>
        <v>head_guishibai</v>
      </c>
      <c r="P83" t="str">
        <f>IFERROR(VLOOKUP(C83,Sheet2!$A$1:$C$114,3,FALSE),"")</f>
        <v>head_niutou</v>
      </c>
      <c r="Q83" t="str">
        <f>IFERROR(VLOOKUP(D83,Sheet2!$A$1:$C$114,3,FALSE),"")</f>
        <v/>
      </c>
    </row>
    <row r="84" spans="1:17" ht="13.5" customHeight="1">
      <c r="A84" s="1" t="str">
        <f>IFERROR(VLOOKUP(A38,中介表!$A$1:$C$20,2,FALSE),"")</f>
        <v>马面</v>
      </c>
      <c r="B84" s="1" t="str">
        <f>IFERROR(VLOOKUP(B38,中介表!$A$1:$C$20,2,FALSE),"")</f>
        <v>泾河龙王</v>
      </c>
      <c r="C84" s="1" t="str">
        <f>IFERROR(VLOOKUP(C38,中介表!$A$1:$C$20,2,FALSE),"")</f>
        <v>雷公</v>
      </c>
      <c r="D84" s="1" t="str">
        <f>IFERROR(VLOOKUP(D38,中介表!$A$1:$C$20,2,FALSE),"")</f>
        <v/>
      </c>
      <c r="E84" s="72">
        <f t="shared" si="11"/>
        <v>11147</v>
      </c>
      <c r="F84" s="71" t="s">
        <v>472</v>
      </c>
      <c r="G84" t="str">
        <f t="shared" si="10"/>
        <v>1205,1134,1133</v>
      </c>
      <c r="H84" t="str">
        <f t="shared" si="12"/>
        <v>head_mamian,head_jinghelongwang,head_leigong</v>
      </c>
      <c r="J84">
        <f>IFERROR(VLOOKUP(A84,Sheet2!$A$1:$B$114,2,FALSE),"")</f>
        <v>1205</v>
      </c>
      <c r="K84">
        <f>IFERROR(VLOOKUP(B84,Sheet2!$A$1:$B$114,2,FALSE),"")</f>
        <v>1134</v>
      </c>
      <c r="L84">
        <f>IFERROR(VLOOKUP(C84,Sheet2!$A$1:$B$114,2,FALSE),"")</f>
        <v>1133</v>
      </c>
      <c r="M84" t="str">
        <f>IFERROR(VLOOKUP(D84,Sheet2!$A$1:$B$114,2,FALSE),"")</f>
        <v/>
      </c>
      <c r="N84" t="str">
        <f>IFERROR(VLOOKUP(A84,Sheet2!$A$1:$C$114,3,FALSE),"")</f>
        <v>head_mamian</v>
      </c>
      <c r="O84" t="str">
        <f>IFERROR(VLOOKUP(B84,Sheet2!$A$1:$C$114,3,FALSE),"")</f>
        <v>head_jinghelongwang</v>
      </c>
      <c r="P84" t="str">
        <f>IFERROR(VLOOKUP(C84,Sheet2!$A$1:$C$114,3,FALSE),"")</f>
        <v>head_leigong</v>
      </c>
      <c r="Q84" t="str">
        <f>IFERROR(VLOOKUP(D84,Sheet2!$A$1:$C$114,3,FALSE),"")</f>
        <v/>
      </c>
    </row>
    <row r="85" spans="1:17" ht="13.5" customHeight="1">
      <c r="A85" s="1" t="str">
        <f>IFERROR(VLOOKUP(A39,中介表!$A$1:$C$20,2,FALSE),"")</f>
        <v>马面</v>
      </c>
      <c r="B85" s="1" t="str">
        <f>IFERROR(VLOOKUP(B39,中介表!$A$1:$C$20,2,FALSE),"")</f>
        <v>泾河龙王</v>
      </c>
      <c r="C85" s="1" t="str">
        <f>IFERROR(VLOOKUP(C39,中介表!$A$1:$C$20,2,FALSE),"")</f>
        <v/>
      </c>
      <c r="D85" s="1" t="str">
        <f>IFERROR(VLOOKUP(D39,中介表!$A$1:$C$20,2,FALSE),"")</f>
        <v/>
      </c>
      <c r="E85" s="72">
        <f t="shared" si="11"/>
        <v>11148</v>
      </c>
      <c r="F85" s="71" t="s">
        <v>473</v>
      </c>
      <c r="G85" t="str">
        <f t="shared" si="10"/>
        <v>1205,1134</v>
      </c>
      <c r="H85" t="str">
        <f t="shared" si="12"/>
        <v>head_mamian,head_jinghelongwang</v>
      </c>
      <c r="J85">
        <f>IFERROR(VLOOKUP(A85,Sheet2!$A$1:$B$114,2,FALSE),"")</f>
        <v>1205</v>
      </c>
      <c r="K85">
        <f>IFERROR(VLOOKUP(B85,Sheet2!$A$1:$B$114,2,FALSE),"")</f>
        <v>1134</v>
      </c>
      <c r="L85" t="str">
        <f>IFERROR(VLOOKUP(C85,Sheet2!$A$1:$B$114,2,FALSE),"")</f>
        <v/>
      </c>
      <c r="M85" t="str">
        <f>IFERROR(VLOOKUP(D85,Sheet2!$A$1:$B$114,2,FALSE),"")</f>
        <v/>
      </c>
      <c r="N85" t="str">
        <f>IFERROR(VLOOKUP(A85,Sheet2!$A$1:$C$114,3,FALSE),"")</f>
        <v>head_mamian</v>
      </c>
      <c r="O85" t="str">
        <f>IFERROR(VLOOKUP(B85,Sheet2!$A$1:$C$114,3,FALSE),"")</f>
        <v>head_jinghelongwang</v>
      </c>
      <c r="P85" t="str">
        <f>IFERROR(VLOOKUP(C85,Sheet2!$A$1:$C$114,3,FALSE),"")</f>
        <v/>
      </c>
      <c r="Q85" t="str">
        <f>IFERROR(VLOOKUP(D85,Sheet2!$A$1:$C$114,3,FALSE),"")</f>
        <v/>
      </c>
    </row>
    <row r="86" spans="1:17" ht="13.5" customHeight="1">
      <c r="A86" s="1" t="str">
        <f>IFERROR(VLOOKUP(A40,中介表!$A$1:$C$20,2,FALSE),"")</f>
        <v>鬼使白</v>
      </c>
      <c r="B86" s="1" t="str">
        <f>IFERROR(VLOOKUP(B40,中介表!$A$1:$C$20,2,FALSE),"")</f>
        <v>雷公</v>
      </c>
      <c r="C86" s="1" t="str">
        <f>IFERROR(VLOOKUP(C40,中介表!$A$1:$C$20,2,FALSE),"")</f>
        <v/>
      </c>
      <c r="D86" s="1" t="str">
        <f>IFERROR(VLOOKUP(D40,中介表!$A$1:$C$20,2,FALSE),"")</f>
        <v/>
      </c>
      <c r="E86" s="72">
        <f t="shared" si="11"/>
        <v>11149</v>
      </c>
      <c r="F86" s="71" t="s">
        <v>474</v>
      </c>
      <c r="G86" t="str">
        <f t="shared" si="10"/>
        <v>1204,1133</v>
      </c>
      <c r="H86" t="str">
        <f t="shared" si="12"/>
        <v>head_guishibai,head_leigong</v>
      </c>
      <c r="J86">
        <f>IFERROR(VLOOKUP(A86,Sheet2!$A$1:$B$114,2,FALSE),"")</f>
        <v>1204</v>
      </c>
      <c r="K86">
        <f>IFERROR(VLOOKUP(B86,Sheet2!$A$1:$B$114,2,FALSE),"")</f>
        <v>1133</v>
      </c>
      <c r="L86" t="str">
        <f>IFERROR(VLOOKUP(C86,Sheet2!$A$1:$B$114,2,FALSE),"")</f>
        <v/>
      </c>
      <c r="M86" t="str">
        <f>IFERROR(VLOOKUP(D86,Sheet2!$A$1:$B$114,2,FALSE),"")</f>
        <v/>
      </c>
      <c r="N86" t="str">
        <f>IFERROR(VLOOKUP(A86,Sheet2!$A$1:$C$114,3,FALSE),"")</f>
        <v>head_guishibai</v>
      </c>
      <c r="O86" t="str">
        <f>IFERROR(VLOOKUP(B86,Sheet2!$A$1:$C$114,3,FALSE),"")</f>
        <v>head_leigong</v>
      </c>
      <c r="P86" t="str">
        <f>IFERROR(VLOOKUP(C86,Sheet2!$A$1:$C$114,3,FALSE),"")</f>
        <v/>
      </c>
      <c r="Q86" t="str">
        <f>IFERROR(VLOOKUP(D86,Sheet2!$A$1:$C$114,3,FALSE),"")</f>
        <v/>
      </c>
    </row>
    <row r="87" spans="1:17" ht="13.5" customHeight="1">
      <c r="A87" s="1" t="str">
        <f>IFERROR(VLOOKUP(A41,中介表!$A$1:$C$20,2,FALSE),"")</f>
        <v>雷公</v>
      </c>
      <c r="B87" s="1" t="str">
        <f>IFERROR(VLOOKUP(B41,中介表!$A$1:$C$20,2,FALSE),"")</f>
        <v>马面</v>
      </c>
      <c r="C87" s="1" t="str">
        <f>IFERROR(VLOOKUP(C41,中介表!$A$1:$C$20,2,FALSE),"")</f>
        <v/>
      </c>
      <c r="D87" s="1" t="str">
        <f>IFERROR(VLOOKUP(D41,中介表!$A$1:$C$20,2,FALSE),"")</f>
        <v/>
      </c>
      <c r="E87" s="72">
        <f t="shared" si="11"/>
        <v>11150</v>
      </c>
      <c r="F87" s="71" t="s">
        <v>475</v>
      </c>
      <c r="G87" t="str">
        <f t="shared" si="10"/>
        <v>1133,1205</v>
      </c>
      <c r="H87" t="str">
        <f t="shared" si="12"/>
        <v>head_leigong,head_mamian</v>
      </c>
      <c r="J87">
        <f>IFERROR(VLOOKUP(A87,Sheet2!$A$1:$B$114,2,FALSE),"")</f>
        <v>1133</v>
      </c>
      <c r="K87">
        <f>IFERROR(VLOOKUP(B87,Sheet2!$A$1:$B$114,2,FALSE),"")</f>
        <v>1205</v>
      </c>
      <c r="L87" t="str">
        <f>IFERROR(VLOOKUP(C87,Sheet2!$A$1:$B$114,2,FALSE),"")</f>
        <v/>
      </c>
      <c r="M87" t="str">
        <f>IFERROR(VLOOKUP(D87,Sheet2!$A$1:$B$114,2,FALSE),"")</f>
        <v/>
      </c>
      <c r="N87" t="str">
        <f>IFERROR(VLOOKUP(A87,Sheet2!$A$1:$C$114,3,FALSE),"")</f>
        <v>head_leigong</v>
      </c>
      <c r="O87" t="str">
        <f>IFERROR(VLOOKUP(B87,Sheet2!$A$1:$C$114,3,FALSE),"")</f>
        <v>head_mamian</v>
      </c>
      <c r="P87" t="str">
        <f>IFERROR(VLOOKUP(C87,Sheet2!$A$1:$C$114,3,FALSE),"")</f>
        <v/>
      </c>
      <c r="Q87" t="str">
        <f>IFERROR(VLOOKUP(D87,Sheet2!$A$1:$C$114,3,FALSE),"")</f>
        <v/>
      </c>
    </row>
    <row r="88" spans="1:17" ht="13.5" customHeight="1">
      <c r="A88" s="1" t="str">
        <f>IFERROR(VLOOKUP(A42,中介表!$A$1:$C$20,2,FALSE),"")</f>
        <v>鬼使黑</v>
      </c>
      <c r="B88" s="1" t="str">
        <f>IFERROR(VLOOKUP(B42,中介表!$A$1:$C$20,2,FALSE),"")</f>
        <v>牛头</v>
      </c>
      <c r="C88" s="1" t="str">
        <f>IFERROR(VLOOKUP(C42,中介表!$A$1:$C$20,2,FALSE),"")</f>
        <v/>
      </c>
      <c r="D88" s="1" t="str">
        <f>IFERROR(VLOOKUP(D42,中介表!$A$1:$C$20,2,FALSE),"")</f>
        <v/>
      </c>
      <c r="E88" s="72">
        <f t="shared" si="11"/>
        <v>11151</v>
      </c>
      <c r="F88" s="71" t="s">
        <v>476</v>
      </c>
      <c r="G88" t="str">
        <f t="shared" si="10"/>
        <v>1203,1206</v>
      </c>
      <c r="H88" t="str">
        <f t="shared" si="12"/>
        <v>head_guishihei,head_niutou</v>
      </c>
      <c r="J88">
        <f>IFERROR(VLOOKUP(A88,Sheet2!$A$1:$B$114,2,FALSE),"")</f>
        <v>1203</v>
      </c>
      <c r="K88">
        <f>IFERROR(VLOOKUP(B88,Sheet2!$A$1:$B$114,2,FALSE),"")</f>
        <v>1206</v>
      </c>
      <c r="L88" t="str">
        <f>IFERROR(VLOOKUP(C88,Sheet2!$A$1:$B$114,2,FALSE),"")</f>
        <v/>
      </c>
      <c r="M88" t="str">
        <f>IFERROR(VLOOKUP(D88,Sheet2!$A$1:$B$114,2,FALSE),"")</f>
        <v/>
      </c>
      <c r="N88" t="str">
        <f>IFERROR(VLOOKUP(A88,Sheet2!$A$1:$C$114,3,FALSE),"")</f>
        <v>head_guishihei</v>
      </c>
      <c r="O88" t="str">
        <f>IFERROR(VLOOKUP(B88,Sheet2!$A$1:$C$114,3,FALSE),"")</f>
        <v>head_niutou</v>
      </c>
      <c r="P88" t="str">
        <f>IFERROR(VLOOKUP(C88,Sheet2!$A$1:$C$114,3,FALSE),"")</f>
        <v/>
      </c>
      <c r="Q88" t="str">
        <f>IFERROR(VLOOKUP(D88,Sheet2!$A$1:$C$114,3,FALSE),"")</f>
        <v/>
      </c>
    </row>
    <row r="89" spans="1:17" ht="13.5" customHeight="1">
      <c r="A89" s="1" t="str">
        <f>IFERROR(VLOOKUP(A43,中介表!$A$1:$C$20,2,FALSE),"")</f>
        <v>泾河龙王</v>
      </c>
      <c r="B89" s="1" t="str">
        <f>IFERROR(VLOOKUP(B43,中介表!$A$1:$C$20,2,FALSE),"")</f>
        <v>鬼使黑</v>
      </c>
      <c r="C89" s="1" t="str">
        <f>IFERROR(VLOOKUP(C43,中介表!$A$1:$C$20,2,FALSE),"")</f>
        <v/>
      </c>
      <c r="D89" s="1" t="str">
        <f>IFERROR(VLOOKUP(D43,中介表!$A$1:$C$20,2,FALSE),"")</f>
        <v/>
      </c>
      <c r="E89" s="72">
        <f t="shared" si="11"/>
        <v>11152</v>
      </c>
      <c r="F89" s="71" t="s">
        <v>477</v>
      </c>
      <c r="G89" t="str">
        <f t="shared" si="10"/>
        <v>1134,1203</v>
      </c>
      <c r="H89" t="str">
        <f t="shared" si="12"/>
        <v>head_jinghelongwang,head_guishihei</v>
      </c>
      <c r="J89">
        <f>IFERROR(VLOOKUP(A89,Sheet2!$A$1:$B$114,2,FALSE),"")</f>
        <v>1134</v>
      </c>
      <c r="K89">
        <f>IFERROR(VLOOKUP(B89,Sheet2!$A$1:$B$114,2,FALSE),"")</f>
        <v>1203</v>
      </c>
      <c r="L89" t="str">
        <f>IFERROR(VLOOKUP(C89,Sheet2!$A$1:$B$114,2,FALSE),"")</f>
        <v/>
      </c>
      <c r="M89" t="str">
        <f>IFERROR(VLOOKUP(D89,Sheet2!$A$1:$B$114,2,FALSE),"")</f>
        <v/>
      </c>
      <c r="N89" t="str">
        <f>IFERROR(VLOOKUP(A89,Sheet2!$A$1:$C$114,3,FALSE),"")</f>
        <v>head_jinghelongwang</v>
      </c>
      <c r="O89" t="str">
        <f>IFERROR(VLOOKUP(B89,Sheet2!$A$1:$C$114,3,FALSE),"")</f>
        <v>head_guishihei</v>
      </c>
      <c r="P89" t="str">
        <f>IFERROR(VLOOKUP(C89,Sheet2!$A$1:$C$114,3,FALSE),"")</f>
        <v/>
      </c>
      <c r="Q89" t="str">
        <f>IFERROR(VLOOKUP(D89,Sheet2!$A$1:$C$114,3,FALSE),"")</f>
        <v/>
      </c>
    </row>
    <row r="90" spans="1:17" ht="13.5" customHeight="1">
      <c r="A90" s="1" t="str">
        <f>IFERROR(VLOOKUP(A44,中介表!$A$1:$C$20,2,FALSE),"")</f>
        <v>牛头</v>
      </c>
      <c r="B90" s="1" t="str">
        <f>IFERROR(VLOOKUP(B44,中介表!$A$1:$C$20,2,FALSE),"")</f>
        <v>鬼使白</v>
      </c>
      <c r="C90" s="1" t="str">
        <f>IFERROR(VLOOKUP(C44,中介表!$A$1:$C$20,2,FALSE),"")</f>
        <v/>
      </c>
      <c r="D90" s="1" t="str">
        <f>IFERROR(VLOOKUP(D44,中介表!$A$1:$C$20,2,FALSE),"")</f>
        <v/>
      </c>
      <c r="E90" s="72">
        <f t="shared" si="11"/>
        <v>11153</v>
      </c>
      <c r="F90" s="71" t="s">
        <v>478</v>
      </c>
      <c r="G90" t="str">
        <f t="shared" si="10"/>
        <v>1206,1204</v>
      </c>
      <c r="H90" t="str">
        <f t="shared" si="12"/>
        <v>head_niutou,head_guishibai</v>
      </c>
      <c r="J90">
        <f>IFERROR(VLOOKUP(A90,Sheet2!$A$1:$B$114,2,FALSE),"")</f>
        <v>1206</v>
      </c>
      <c r="K90">
        <f>IFERROR(VLOOKUP(B90,Sheet2!$A$1:$B$114,2,FALSE),"")</f>
        <v>1204</v>
      </c>
      <c r="L90" t="str">
        <f>IFERROR(VLOOKUP(C90,Sheet2!$A$1:$B$114,2,FALSE),"")</f>
        <v/>
      </c>
      <c r="M90" t="str">
        <f>IFERROR(VLOOKUP(D90,Sheet2!$A$1:$B$114,2,FALSE),"")</f>
        <v/>
      </c>
      <c r="N90" t="str">
        <f>IFERROR(VLOOKUP(A90,Sheet2!$A$1:$C$114,3,FALSE),"")</f>
        <v>head_niutou</v>
      </c>
      <c r="O90" t="str">
        <f>IFERROR(VLOOKUP(B90,Sheet2!$A$1:$C$114,3,FALSE),"")</f>
        <v>head_guishibai</v>
      </c>
      <c r="P90" t="str">
        <f>IFERROR(VLOOKUP(C90,Sheet2!$A$1:$C$114,3,FALSE),"")</f>
        <v/>
      </c>
      <c r="Q90" t="str">
        <f>IFERROR(VLOOKUP(D90,Sheet2!$A$1:$C$114,3,FALSE),"")</f>
        <v/>
      </c>
    </row>
    <row r="91" spans="1:17" ht="13.5" customHeight="1">
      <c r="A91" s="1"/>
      <c r="B91" s="1"/>
      <c r="C91" s="1"/>
      <c r="D91" s="1"/>
      <c r="E91" s="72"/>
      <c r="F91" s="71"/>
    </row>
    <row r="92" spans="1:17" ht="13.5" customHeight="1">
      <c r="A92" s="1"/>
      <c r="B92" s="1"/>
      <c r="C92" s="1"/>
      <c r="D92" s="1"/>
      <c r="E92" s="66"/>
    </row>
    <row r="93" spans="1:17" ht="13.5" customHeight="1">
      <c r="A93" s="120" t="s">
        <v>479</v>
      </c>
      <c r="B93" s="49" t="s">
        <v>174</v>
      </c>
      <c r="C93" s="51"/>
      <c r="D93" s="94"/>
      <c r="E93" s="65" t="s">
        <v>260</v>
      </c>
      <c r="F93" s="65" t="s">
        <v>261</v>
      </c>
      <c r="G93" s="65" t="s">
        <v>258</v>
      </c>
      <c r="H93" s="65" t="s">
        <v>368</v>
      </c>
      <c r="J93" s="70" t="s">
        <v>259</v>
      </c>
      <c r="K93" s="66"/>
      <c r="L93" s="66"/>
      <c r="M93" s="66"/>
      <c r="N93" s="70" t="s">
        <v>367</v>
      </c>
    </row>
    <row r="94" spans="1:17" ht="13.5" customHeight="1">
      <c r="A94" s="1" t="str">
        <f>IFERROR(VLOOKUP(A48,中介表!$B$1:$C$20,2,FALSE),"")</f>
        <v>斗战胜佛</v>
      </c>
      <c r="B94" s="1" t="str">
        <f>IFERROR(VLOOKUP(B48,中介表!$B$1:$C$20,2,FALSE),"")</f>
        <v>紫霞仙子</v>
      </c>
      <c r="C94" s="1" t="str">
        <f>IFERROR(VLOOKUP(C48,中介表!$B$1:$C$20,2,FALSE),"")</f>
        <v>弥勒佛</v>
      </c>
      <c r="D94" s="1" t="str">
        <f>IFERROR(VLOOKUP(D48,中介表!$B$1:$C$20,2,FALSE),"")</f>
        <v>文殊菩萨</v>
      </c>
      <c r="E94" s="72">
        <f>E48+100</f>
        <v>11211</v>
      </c>
      <c r="F94" s="71" t="s">
        <v>395</v>
      </c>
      <c r="G94" t="str">
        <f t="shared" ref="G94:G136" si="13">J94&amp;","&amp;K94&amp;IF(L94="","",","&amp;L94)&amp;IF(M94="","",","&amp;M94)</f>
        <v>1211,1121,1127,1126</v>
      </c>
      <c r="H94" t="str">
        <f>N94&amp;","&amp;O94&amp;IF(P94="","",","&amp;P94)&amp;IF(Q94="","",","&amp;Q94)</f>
        <v>head_douzhanshengfo,head_zixiaxianzi,head_milefo,head_wenshupusa</v>
      </c>
      <c r="J94">
        <f>IFERROR(VLOOKUP(A94,Sheet2!$A$1:$B$114,2,FALSE),"")</f>
        <v>1211</v>
      </c>
      <c r="K94">
        <f>IFERROR(VLOOKUP(B94,Sheet2!$A$1:$B$114,2,FALSE),"")</f>
        <v>1121</v>
      </c>
      <c r="L94">
        <f>IFERROR(VLOOKUP(C94,Sheet2!$A$1:$B$114,2,FALSE),"")</f>
        <v>1127</v>
      </c>
      <c r="M94">
        <f>IFERROR(VLOOKUP(D94,Sheet2!$A$1:$B$114,2,FALSE),"")</f>
        <v>1126</v>
      </c>
      <c r="N94" t="str">
        <f>IFERROR(VLOOKUP(A94,Sheet2!$A$1:$C$114,3,FALSE),"")</f>
        <v>head_douzhanshengfo</v>
      </c>
      <c r="O94" t="str">
        <f>IFERROR(VLOOKUP(B94,Sheet2!$A$1:$C$114,3,FALSE),"")</f>
        <v>head_zixiaxianzi</v>
      </c>
      <c r="P94" t="str">
        <f>IFERROR(VLOOKUP(C94,Sheet2!$A$1:$C$114,3,FALSE),"")</f>
        <v>head_milefo</v>
      </c>
      <c r="Q94" t="str">
        <f>IFERROR(VLOOKUP(D94,Sheet2!$A$1:$C$114,3,FALSE),"")</f>
        <v>head_wenshupusa</v>
      </c>
    </row>
    <row r="95" spans="1:17" ht="13.5" customHeight="1">
      <c r="A95" s="1" t="str">
        <f>IFERROR(VLOOKUP(A49,中介表!$B$1:$C$20,2,FALSE),"")</f>
        <v>八部天龙</v>
      </c>
      <c r="B95" s="1" t="str">
        <f>IFERROR(VLOOKUP(B49,中介表!$B$1:$C$20,2,FALSE),"")</f>
        <v>龙帝</v>
      </c>
      <c r="C95" s="1" t="str">
        <f>IFERROR(VLOOKUP(C49,中介表!$B$1:$C$20,2,FALSE),"")</f>
        <v>金蝉子</v>
      </c>
      <c r="D95" s="1" t="str">
        <f>IFERROR(VLOOKUP(D49,中介表!$B$1:$C$20,2,FALSE),"")</f>
        <v>观世音</v>
      </c>
      <c r="E95" s="72">
        <f t="shared" ref="E95:E136" si="14">E49+100</f>
        <v>11212</v>
      </c>
      <c r="F95" s="71" t="s">
        <v>396</v>
      </c>
      <c r="G95" t="str">
        <f t="shared" si="13"/>
        <v>1214,1213,1212,1215</v>
      </c>
      <c r="H95" t="str">
        <f t="shared" ref="H95:H136" si="15">N95&amp;","&amp;O95&amp;IF(P95="","",","&amp;P95)&amp;IF(Q95="","",","&amp;Q95)</f>
        <v>head_babutianlong,head_longdi,head_jinchanzi,head_guanshiyin</v>
      </c>
      <c r="J95">
        <f>IFERROR(VLOOKUP(A95,Sheet2!$A$1:$B$114,2,FALSE),"")</f>
        <v>1214</v>
      </c>
      <c r="K95">
        <f>IFERROR(VLOOKUP(B95,Sheet2!$A$1:$B$114,2,FALSE),"")</f>
        <v>1213</v>
      </c>
      <c r="L95">
        <f>IFERROR(VLOOKUP(C95,Sheet2!$A$1:$B$114,2,FALSE),"")</f>
        <v>1212</v>
      </c>
      <c r="M95">
        <f>IFERROR(VLOOKUP(D95,Sheet2!$A$1:$B$114,2,FALSE),"")</f>
        <v>1215</v>
      </c>
      <c r="N95" t="str">
        <f>IFERROR(VLOOKUP(A95,Sheet2!$A$1:$C$114,3,FALSE),"")</f>
        <v>head_babutianlong</v>
      </c>
      <c r="O95" t="str">
        <f>IFERROR(VLOOKUP(B95,Sheet2!$A$1:$C$114,3,FALSE),"")</f>
        <v>head_longdi</v>
      </c>
      <c r="P95" t="str">
        <f>IFERROR(VLOOKUP(C95,Sheet2!$A$1:$C$114,3,FALSE),"")</f>
        <v>head_jinchanzi</v>
      </c>
      <c r="Q95" t="str">
        <f>IFERROR(VLOOKUP(D95,Sheet2!$A$1:$C$114,3,FALSE),"")</f>
        <v>head_guanshiyin</v>
      </c>
    </row>
    <row r="96" spans="1:17" ht="13.5" customHeight="1">
      <c r="A96" s="1" t="str">
        <f>IFERROR(VLOOKUP(A50,中介表!$B$1:$C$20,2,FALSE),"")</f>
        <v>斗战胜佛</v>
      </c>
      <c r="B96" s="1" t="str">
        <f>IFERROR(VLOOKUP(B50,中介表!$B$1:$C$20,2,FALSE),"")</f>
        <v>紫霞仙子</v>
      </c>
      <c r="C96" s="1" t="str">
        <f>IFERROR(VLOOKUP(C50,中介表!$B$1:$C$20,2,FALSE),"")</f>
        <v>金蝉子</v>
      </c>
      <c r="D96" s="1" t="str">
        <f>IFERROR(VLOOKUP(D50,中介表!$B$1:$C$20,2,FALSE),"")</f>
        <v/>
      </c>
      <c r="E96" s="72">
        <f t="shared" si="14"/>
        <v>11213</v>
      </c>
      <c r="F96" s="71" t="s">
        <v>397</v>
      </c>
      <c r="G96" t="str">
        <f t="shared" si="13"/>
        <v>1211,1121,1212</v>
      </c>
      <c r="H96" t="str">
        <f t="shared" si="15"/>
        <v>head_douzhanshengfo,head_zixiaxianzi,head_jinchanzi</v>
      </c>
      <c r="J96">
        <f>IFERROR(VLOOKUP(A96,Sheet2!$A$1:$B$114,2,FALSE),"")</f>
        <v>1211</v>
      </c>
      <c r="K96">
        <f>IFERROR(VLOOKUP(B96,Sheet2!$A$1:$B$114,2,FALSE),"")</f>
        <v>1121</v>
      </c>
      <c r="L96">
        <f>IFERROR(VLOOKUP(C96,Sheet2!$A$1:$B$114,2,FALSE),"")</f>
        <v>1212</v>
      </c>
      <c r="M96" t="str">
        <f>IFERROR(VLOOKUP(D96,Sheet2!$A$1:$B$114,2,FALSE),"")</f>
        <v/>
      </c>
      <c r="N96" t="str">
        <f>IFERROR(VLOOKUP(A96,Sheet2!$A$1:$C$114,3,FALSE),"")</f>
        <v>head_douzhanshengfo</v>
      </c>
      <c r="O96" t="str">
        <f>IFERROR(VLOOKUP(B96,Sheet2!$A$1:$C$114,3,FALSE),"")</f>
        <v>head_zixiaxianzi</v>
      </c>
      <c r="P96" t="str">
        <f>IFERROR(VLOOKUP(C96,Sheet2!$A$1:$C$114,3,FALSE),"")</f>
        <v>head_jinchanzi</v>
      </c>
      <c r="Q96" t="str">
        <f>IFERROR(VLOOKUP(D96,Sheet2!$A$1:$C$114,3,FALSE),"")</f>
        <v/>
      </c>
    </row>
    <row r="97" spans="1:17" ht="13.5" customHeight="1">
      <c r="A97" s="1" t="str">
        <f>IFERROR(VLOOKUP(A51,中介表!$B$1:$C$20,2,FALSE),"")</f>
        <v>八部天龙</v>
      </c>
      <c r="B97" s="1" t="str">
        <f>IFERROR(VLOOKUP(B51,中介表!$B$1:$C$20,2,FALSE),"")</f>
        <v>龙帝</v>
      </c>
      <c r="C97" s="1" t="str">
        <f>IFERROR(VLOOKUP(C51,中介表!$B$1:$C$20,2,FALSE),"")</f>
        <v>弥勒佛</v>
      </c>
      <c r="D97" s="1" t="str">
        <f>IFERROR(VLOOKUP(D51,中介表!$B$1:$C$20,2,FALSE),"")</f>
        <v/>
      </c>
      <c r="E97" s="72">
        <f t="shared" si="14"/>
        <v>11214</v>
      </c>
      <c r="F97" s="71" t="s">
        <v>398</v>
      </c>
      <c r="G97" t="str">
        <f t="shared" si="13"/>
        <v>1214,1213,1127</v>
      </c>
      <c r="H97" t="str">
        <f t="shared" si="15"/>
        <v>head_babutianlong,head_longdi,head_milefo</v>
      </c>
      <c r="J97">
        <f>IFERROR(VLOOKUP(A97,Sheet2!$A$1:$B$114,2,FALSE),"")</f>
        <v>1214</v>
      </c>
      <c r="K97">
        <f>IFERROR(VLOOKUP(B97,Sheet2!$A$1:$B$114,2,FALSE),"")</f>
        <v>1213</v>
      </c>
      <c r="L97">
        <f>IFERROR(VLOOKUP(C97,Sheet2!$A$1:$B$114,2,FALSE),"")</f>
        <v>1127</v>
      </c>
      <c r="M97" t="str">
        <f>IFERROR(VLOOKUP(D97,Sheet2!$A$1:$B$114,2,FALSE),"")</f>
        <v/>
      </c>
      <c r="N97" t="str">
        <f>IFERROR(VLOOKUP(A97,Sheet2!$A$1:$C$114,3,FALSE),"")</f>
        <v>head_babutianlong</v>
      </c>
      <c r="O97" t="str">
        <f>IFERROR(VLOOKUP(B97,Sheet2!$A$1:$C$114,3,FALSE),"")</f>
        <v>head_longdi</v>
      </c>
      <c r="P97" t="str">
        <f>IFERROR(VLOOKUP(C97,Sheet2!$A$1:$C$114,3,FALSE),"")</f>
        <v>head_milefo</v>
      </c>
      <c r="Q97" t="str">
        <f>IFERROR(VLOOKUP(D97,Sheet2!$A$1:$C$114,3,FALSE),"")</f>
        <v/>
      </c>
    </row>
    <row r="98" spans="1:17" ht="13.5" customHeight="1">
      <c r="A98" s="1" t="str">
        <f>IFERROR(VLOOKUP(A52,中介表!$B$1:$C$20,2,FALSE),"")</f>
        <v>金蝉子</v>
      </c>
      <c r="B98" s="1" t="str">
        <f>IFERROR(VLOOKUP(B52,中介表!$B$1:$C$20,2,FALSE),"")</f>
        <v>文殊菩萨</v>
      </c>
      <c r="C98" s="1" t="str">
        <f>IFERROR(VLOOKUP(C52,中介表!$B$1:$C$20,2,FALSE),"")</f>
        <v>观世音</v>
      </c>
      <c r="D98" s="1" t="str">
        <f>IFERROR(VLOOKUP(D52,中介表!$B$1:$C$20,2,FALSE),"")</f>
        <v/>
      </c>
      <c r="E98" s="72">
        <f t="shared" si="14"/>
        <v>11215</v>
      </c>
      <c r="F98" s="71" t="s">
        <v>399</v>
      </c>
      <c r="G98" t="str">
        <f t="shared" si="13"/>
        <v>1212,1126,1215</v>
      </c>
      <c r="H98" t="str">
        <f t="shared" si="15"/>
        <v>head_jinchanzi,head_wenshupusa,head_guanshiyin</v>
      </c>
      <c r="J98">
        <f>IFERROR(VLOOKUP(A98,Sheet2!$A$1:$B$114,2,FALSE),"")</f>
        <v>1212</v>
      </c>
      <c r="K98">
        <f>IFERROR(VLOOKUP(B98,Sheet2!$A$1:$B$114,2,FALSE),"")</f>
        <v>1126</v>
      </c>
      <c r="L98">
        <f>IFERROR(VLOOKUP(C98,Sheet2!$A$1:$B$114,2,FALSE),"")</f>
        <v>1215</v>
      </c>
      <c r="M98" t="str">
        <f>IFERROR(VLOOKUP(D98,Sheet2!$A$1:$B$114,2,FALSE),"")</f>
        <v/>
      </c>
      <c r="N98" t="str">
        <f>IFERROR(VLOOKUP(A98,Sheet2!$A$1:$C$114,3,FALSE),"")</f>
        <v>head_jinchanzi</v>
      </c>
      <c r="O98" t="str">
        <f>IFERROR(VLOOKUP(B98,Sheet2!$A$1:$C$114,3,FALSE),"")</f>
        <v>head_wenshupusa</v>
      </c>
      <c r="P98" t="str">
        <f>IFERROR(VLOOKUP(C98,Sheet2!$A$1:$C$114,3,FALSE),"")</f>
        <v>head_guanshiyin</v>
      </c>
      <c r="Q98" t="str">
        <f>IFERROR(VLOOKUP(D98,Sheet2!$A$1:$C$114,3,FALSE),"")</f>
        <v/>
      </c>
    </row>
    <row r="99" spans="1:17" ht="13.5" customHeight="1">
      <c r="A99" s="1" t="str">
        <f>IFERROR(VLOOKUP(A53,中介表!$B$1:$C$20,2,FALSE),"")</f>
        <v>弥勒佛</v>
      </c>
      <c r="B99" s="1" t="str">
        <f>IFERROR(VLOOKUP(B53,中介表!$B$1:$C$20,2,FALSE),"")</f>
        <v>文殊菩萨</v>
      </c>
      <c r="C99" s="1" t="str">
        <f>IFERROR(VLOOKUP(C53,中介表!$B$1:$C$20,2,FALSE),"")</f>
        <v>观世音</v>
      </c>
      <c r="D99" s="1" t="str">
        <f>IFERROR(VLOOKUP(D53,中介表!$B$1:$C$20,2,FALSE),"")</f>
        <v/>
      </c>
      <c r="E99" s="72">
        <f t="shared" si="14"/>
        <v>11216</v>
      </c>
      <c r="F99" s="71" t="s">
        <v>400</v>
      </c>
      <c r="G99" t="str">
        <f t="shared" si="13"/>
        <v>1127,1126,1215</v>
      </c>
      <c r="H99" t="str">
        <f t="shared" si="15"/>
        <v>head_milefo,head_wenshupusa,head_guanshiyin</v>
      </c>
      <c r="J99">
        <f>IFERROR(VLOOKUP(A99,Sheet2!$A$1:$B$114,2,FALSE),"")</f>
        <v>1127</v>
      </c>
      <c r="K99">
        <f>IFERROR(VLOOKUP(B99,Sheet2!$A$1:$B$114,2,FALSE),"")</f>
        <v>1126</v>
      </c>
      <c r="L99">
        <f>IFERROR(VLOOKUP(C99,Sheet2!$A$1:$B$114,2,FALSE),"")</f>
        <v>1215</v>
      </c>
      <c r="M99" t="str">
        <f>IFERROR(VLOOKUP(D99,Sheet2!$A$1:$B$114,2,FALSE),"")</f>
        <v/>
      </c>
      <c r="N99" t="str">
        <f>IFERROR(VLOOKUP(A99,Sheet2!$A$1:$C$114,3,FALSE),"")</f>
        <v>head_milefo</v>
      </c>
      <c r="O99" t="str">
        <f>IFERROR(VLOOKUP(B99,Sheet2!$A$1:$C$114,3,FALSE),"")</f>
        <v>head_wenshupusa</v>
      </c>
      <c r="P99" t="str">
        <f>IFERROR(VLOOKUP(C99,Sheet2!$A$1:$C$114,3,FALSE),"")</f>
        <v>head_guanshiyin</v>
      </c>
      <c r="Q99" t="str">
        <f>IFERROR(VLOOKUP(D99,Sheet2!$A$1:$C$114,3,FALSE),"")</f>
        <v/>
      </c>
    </row>
    <row r="100" spans="1:17" ht="13.5" customHeight="1">
      <c r="A100" s="1" t="str">
        <f>IFERROR(VLOOKUP(A54,中介表!$B$1:$C$20,2,FALSE),"")</f>
        <v>唐三藏</v>
      </c>
      <c r="B100" s="1" t="str">
        <f>IFERROR(VLOOKUP(B54,中介表!$B$1:$C$20,2,FALSE),"")</f>
        <v>迦叶</v>
      </c>
      <c r="C100" s="1" t="str">
        <f>IFERROR(VLOOKUP(C54,中介表!$B$1:$C$20,2,FALSE),"")</f>
        <v>女儿国国王</v>
      </c>
      <c r="D100" s="1" t="str">
        <f>IFERROR(VLOOKUP(D54,中介表!$B$1:$C$20,2,FALSE),"")</f>
        <v/>
      </c>
      <c r="E100" s="72">
        <f t="shared" si="14"/>
        <v>11217</v>
      </c>
      <c r="F100" s="71" t="s">
        <v>401</v>
      </c>
      <c r="G100" t="str">
        <f t="shared" si="13"/>
        <v>1122,1125,1216</v>
      </c>
      <c r="H100" t="str">
        <f t="shared" si="15"/>
        <v>head_tangsanzang,head_jiaye,head_nverguoguowang</v>
      </c>
      <c r="J100">
        <f>IFERROR(VLOOKUP(A100,Sheet2!$A$1:$B$114,2,FALSE),"")</f>
        <v>1122</v>
      </c>
      <c r="K100">
        <f>IFERROR(VLOOKUP(B100,Sheet2!$A$1:$B$114,2,FALSE),"")</f>
        <v>1125</v>
      </c>
      <c r="L100">
        <f>IFERROR(VLOOKUP(C100,Sheet2!$A$1:$B$114,2,FALSE),"")</f>
        <v>1216</v>
      </c>
      <c r="M100" t="str">
        <f>IFERROR(VLOOKUP(D100,Sheet2!$A$1:$B$114,2,FALSE),"")</f>
        <v/>
      </c>
      <c r="N100" t="str">
        <f>IFERROR(VLOOKUP(A100,Sheet2!$A$1:$C$114,3,FALSE),"")</f>
        <v>head_tangsanzang</v>
      </c>
      <c r="O100" t="str">
        <f>IFERROR(VLOOKUP(B100,Sheet2!$A$1:$C$114,3,FALSE),"")</f>
        <v>head_jiaye</v>
      </c>
      <c r="P100" t="str">
        <f>IFERROR(VLOOKUP(C100,Sheet2!$A$1:$C$114,3,FALSE),"")</f>
        <v>head_nverguoguowang</v>
      </c>
      <c r="Q100" t="str">
        <f>IFERROR(VLOOKUP(D100,Sheet2!$A$1:$C$114,3,FALSE),"")</f>
        <v/>
      </c>
    </row>
    <row r="101" spans="1:17" ht="13.5" customHeight="1">
      <c r="A101" s="1" t="str">
        <f>IFERROR(VLOOKUP(A55,中介表!$B$1:$C$20,2,FALSE),"")</f>
        <v>红孩儿</v>
      </c>
      <c r="B101" s="1" t="str">
        <f>IFERROR(VLOOKUP(B55,中介表!$B$1:$C$20,2,FALSE),"")</f>
        <v>迦叶</v>
      </c>
      <c r="C101" s="1" t="str">
        <f>IFERROR(VLOOKUP(C55,中介表!$B$1:$C$20,2,FALSE),"")</f>
        <v>女儿国国王</v>
      </c>
      <c r="D101" s="1" t="str">
        <f>IFERROR(VLOOKUP(D55,中介表!$B$1:$C$20,2,FALSE),"")</f>
        <v/>
      </c>
      <c r="E101" s="72">
        <f t="shared" si="14"/>
        <v>11218</v>
      </c>
      <c r="F101" s="71" t="s">
        <v>402</v>
      </c>
      <c r="G101" t="str">
        <f t="shared" si="13"/>
        <v>1110,1125,1216</v>
      </c>
      <c r="H101" t="str">
        <f t="shared" si="15"/>
        <v>head_honghaier,head_jiaye,head_nverguoguowang</v>
      </c>
      <c r="J101">
        <f>IFERROR(VLOOKUP(A101,Sheet2!$A$1:$B$114,2,FALSE),"")</f>
        <v>1110</v>
      </c>
      <c r="K101">
        <f>IFERROR(VLOOKUP(B101,Sheet2!$A$1:$B$114,2,FALSE),"")</f>
        <v>1125</v>
      </c>
      <c r="L101">
        <f>IFERROR(VLOOKUP(C101,Sheet2!$A$1:$B$114,2,FALSE),"")</f>
        <v>1216</v>
      </c>
      <c r="M101" t="str">
        <f>IFERROR(VLOOKUP(D101,Sheet2!$A$1:$B$114,2,FALSE),"")</f>
        <v/>
      </c>
      <c r="N101" t="str">
        <f>IFERROR(VLOOKUP(A101,Sheet2!$A$1:$C$114,3,FALSE),"")</f>
        <v>head_honghaier</v>
      </c>
      <c r="O101" t="str">
        <f>IFERROR(VLOOKUP(B101,Sheet2!$A$1:$C$114,3,FALSE),"")</f>
        <v>head_jiaye</v>
      </c>
      <c r="P101" t="str">
        <f>IFERROR(VLOOKUP(C101,Sheet2!$A$1:$C$114,3,FALSE),"")</f>
        <v>head_nverguoguowang</v>
      </c>
      <c r="Q101" t="str">
        <f>IFERROR(VLOOKUP(D101,Sheet2!$A$1:$C$114,3,FALSE),"")</f>
        <v/>
      </c>
    </row>
    <row r="102" spans="1:17" ht="13.5" customHeight="1">
      <c r="A102" s="1" t="str">
        <f>IFERROR(VLOOKUP(A56,中介表!$B$1:$C$20,2,FALSE),"")</f>
        <v>引魂仙子</v>
      </c>
      <c r="B102" s="1" t="str">
        <f>IFERROR(VLOOKUP(B56,中介表!$B$1:$C$20,2,FALSE),"")</f>
        <v>人参娃</v>
      </c>
      <c r="C102" s="1" t="str">
        <f>IFERROR(VLOOKUP(C56,中介表!$B$1:$C$20,2,FALSE),"")</f>
        <v>红孩儿</v>
      </c>
      <c r="D102" s="1" t="str">
        <f>IFERROR(VLOOKUP(D56,中介表!$B$1:$C$20,2,FALSE),"")</f>
        <v/>
      </c>
      <c r="E102" s="72">
        <f t="shared" si="14"/>
        <v>11219</v>
      </c>
      <c r="F102" s="71" t="s">
        <v>403</v>
      </c>
      <c r="G102" t="str">
        <f t="shared" si="13"/>
        <v>1207,1202,1110</v>
      </c>
      <c r="H102" t="str">
        <f t="shared" si="15"/>
        <v>head_yinhunxianzi,head_renshenwa,head_honghaier</v>
      </c>
      <c r="J102">
        <f>IFERROR(VLOOKUP(A102,Sheet2!$A$1:$B$114,2,FALSE),"")</f>
        <v>1207</v>
      </c>
      <c r="K102">
        <f>IFERROR(VLOOKUP(B102,Sheet2!$A$1:$B$114,2,FALSE),"")</f>
        <v>1202</v>
      </c>
      <c r="L102">
        <f>IFERROR(VLOOKUP(C102,Sheet2!$A$1:$B$114,2,FALSE),"")</f>
        <v>1110</v>
      </c>
      <c r="M102" t="str">
        <f>IFERROR(VLOOKUP(D102,Sheet2!$A$1:$B$114,2,FALSE),"")</f>
        <v/>
      </c>
      <c r="N102" t="str">
        <f>IFERROR(VLOOKUP(A102,Sheet2!$A$1:$C$114,3,FALSE),"")</f>
        <v>head_yinhunxianzi</v>
      </c>
      <c r="O102" t="str">
        <f>IFERROR(VLOOKUP(B102,Sheet2!$A$1:$C$114,3,FALSE),"")</f>
        <v>head_renshenwa</v>
      </c>
      <c r="P102" t="str">
        <f>IFERROR(VLOOKUP(C102,Sheet2!$A$1:$C$114,3,FALSE),"")</f>
        <v>head_honghaier</v>
      </c>
      <c r="Q102" t="str">
        <f>IFERROR(VLOOKUP(D102,Sheet2!$A$1:$C$114,3,FALSE),"")</f>
        <v/>
      </c>
    </row>
    <row r="103" spans="1:17" ht="13.5" customHeight="1">
      <c r="A103" s="1" t="str">
        <f>IFERROR(VLOOKUP(A57,中介表!$B$1:$C$20,2,FALSE),"")</f>
        <v>唐三藏</v>
      </c>
      <c r="B103" s="1" t="str">
        <f>IFERROR(VLOOKUP(B57,中介表!$B$1:$C$20,2,FALSE),"")</f>
        <v>引魂仙子</v>
      </c>
      <c r="C103" s="1" t="str">
        <f>IFERROR(VLOOKUP(C57,中介表!$B$1:$C$20,2,FALSE),"")</f>
        <v>人参娃</v>
      </c>
      <c r="D103" s="1" t="str">
        <f>IFERROR(VLOOKUP(D57,中介表!$B$1:$C$20,2,FALSE),"")</f>
        <v/>
      </c>
      <c r="E103" s="72">
        <f t="shared" si="14"/>
        <v>11220</v>
      </c>
      <c r="F103" s="71" t="s">
        <v>404</v>
      </c>
      <c r="G103" t="str">
        <f t="shared" si="13"/>
        <v>1122,1207,1202</v>
      </c>
      <c r="H103" t="str">
        <f t="shared" si="15"/>
        <v>head_tangsanzang,head_yinhunxianzi,head_renshenwa</v>
      </c>
      <c r="J103">
        <f>IFERROR(VLOOKUP(A103,Sheet2!$A$1:$B$114,2,FALSE),"")</f>
        <v>1122</v>
      </c>
      <c r="K103">
        <f>IFERROR(VLOOKUP(B103,Sheet2!$A$1:$B$114,2,FALSE),"")</f>
        <v>1207</v>
      </c>
      <c r="L103">
        <f>IFERROR(VLOOKUP(C103,Sheet2!$A$1:$B$114,2,FALSE),"")</f>
        <v>1202</v>
      </c>
      <c r="M103" t="str">
        <f>IFERROR(VLOOKUP(D103,Sheet2!$A$1:$B$114,2,FALSE),"")</f>
        <v/>
      </c>
      <c r="N103" t="str">
        <f>IFERROR(VLOOKUP(A103,Sheet2!$A$1:$C$114,3,FALSE),"")</f>
        <v>head_tangsanzang</v>
      </c>
      <c r="O103" t="str">
        <f>IFERROR(VLOOKUP(B103,Sheet2!$A$1:$C$114,3,FALSE),"")</f>
        <v>head_yinhunxianzi</v>
      </c>
      <c r="P103" t="str">
        <f>IFERROR(VLOOKUP(C103,Sheet2!$A$1:$C$114,3,FALSE),"")</f>
        <v>head_renshenwa</v>
      </c>
      <c r="Q103" t="str">
        <f>IFERROR(VLOOKUP(D103,Sheet2!$A$1:$C$114,3,FALSE),"")</f>
        <v/>
      </c>
    </row>
    <row r="104" spans="1:17" ht="13.5" customHeight="1">
      <c r="A104" s="1" t="str">
        <f>IFERROR(VLOOKUP(A58,中介表!$B$1:$C$20,2,FALSE),"")</f>
        <v>斗战胜佛</v>
      </c>
      <c r="B104" s="1" t="str">
        <f>IFERROR(VLOOKUP(B58,中介表!$B$1:$C$20,2,FALSE),"")</f>
        <v>文殊菩萨</v>
      </c>
      <c r="C104" s="1" t="str">
        <f>IFERROR(VLOOKUP(C58,中介表!$B$1:$C$20,2,FALSE),"")</f>
        <v/>
      </c>
      <c r="D104" s="1" t="str">
        <f>IFERROR(VLOOKUP(D58,中介表!$B$1:$C$20,2,FALSE),"")</f>
        <v/>
      </c>
      <c r="E104" s="72">
        <f t="shared" si="14"/>
        <v>11221</v>
      </c>
      <c r="F104" s="71" t="s">
        <v>407</v>
      </c>
      <c r="G104" t="str">
        <f t="shared" si="13"/>
        <v>1211,1126</v>
      </c>
      <c r="H104" t="str">
        <f t="shared" si="15"/>
        <v>head_douzhanshengfo,head_wenshupusa</v>
      </c>
      <c r="J104">
        <f>IFERROR(VLOOKUP(A104,Sheet2!$A$1:$B$114,2,FALSE),"")</f>
        <v>1211</v>
      </c>
      <c r="K104">
        <f>IFERROR(VLOOKUP(B104,Sheet2!$A$1:$B$114,2,FALSE),"")</f>
        <v>1126</v>
      </c>
      <c r="L104" t="str">
        <f>IFERROR(VLOOKUP(C104,Sheet2!$A$1:$B$114,2,FALSE),"")</f>
        <v/>
      </c>
      <c r="M104" t="str">
        <f>IFERROR(VLOOKUP(D104,Sheet2!$A$1:$B$114,2,FALSE),"")</f>
        <v/>
      </c>
      <c r="N104" t="str">
        <f>IFERROR(VLOOKUP(A104,Sheet2!$A$1:$C$114,3,FALSE),"")</f>
        <v>head_douzhanshengfo</v>
      </c>
      <c r="O104" t="str">
        <f>IFERROR(VLOOKUP(B104,Sheet2!$A$1:$C$114,3,FALSE),"")</f>
        <v>head_wenshupusa</v>
      </c>
      <c r="P104" t="str">
        <f>IFERROR(VLOOKUP(C104,Sheet2!$A$1:$C$114,3,FALSE),"")</f>
        <v/>
      </c>
      <c r="Q104" t="str">
        <f>IFERROR(VLOOKUP(D104,Sheet2!$A$1:$C$114,3,FALSE),"")</f>
        <v/>
      </c>
    </row>
    <row r="105" spans="1:17" ht="13.5" customHeight="1">
      <c r="A105" s="1" t="str">
        <f>IFERROR(VLOOKUP(A59,中介表!$B$1:$C$20,2,FALSE),"")</f>
        <v>紫霞仙子</v>
      </c>
      <c r="B105" s="1" t="str">
        <f>IFERROR(VLOOKUP(B59,中介表!$B$1:$C$20,2,FALSE),"")</f>
        <v>文殊菩萨</v>
      </c>
      <c r="C105" s="1" t="str">
        <f>IFERROR(VLOOKUP(C59,中介表!$B$1:$C$20,2,FALSE),"")</f>
        <v/>
      </c>
      <c r="D105" s="1" t="str">
        <f>IFERROR(VLOOKUP(D59,中介表!$B$1:$C$20,2,FALSE),"")</f>
        <v/>
      </c>
      <c r="E105" s="72">
        <f t="shared" si="14"/>
        <v>11222</v>
      </c>
      <c r="F105" s="71" t="s">
        <v>408</v>
      </c>
      <c r="G105" t="str">
        <f t="shared" si="13"/>
        <v>1121,1126</v>
      </c>
      <c r="H105" t="str">
        <f t="shared" si="15"/>
        <v>head_zixiaxianzi,head_wenshupusa</v>
      </c>
      <c r="J105">
        <f>IFERROR(VLOOKUP(A105,Sheet2!$A$1:$B$114,2,FALSE),"")</f>
        <v>1121</v>
      </c>
      <c r="K105">
        <f>IFERROR(VLOOKUP(B105,Sheet2!$A$1:$B$114,2,FALSE),"")</f>
        <v>1126</v>
      </c>
      <c r="L105" t="str">
        <f>IFERROR(VLOOKUP(C105,Sheet2!$A$1:$B$114,2,FALSE),"")</f>
        <v/>
      </c>
      <c r="M105" t="str">
        <f>IFERROR(VLOOKUP(D105,Sheet2!$A$1:$B$114,2,FALSE),"")</f>
        <v/>
      </c>
      <c r="N105" t="str">
        <f>IFERROR(VLOOKUP(A105,Sheet2!$A$1:$C$114,3,FALSE),"")</f>
        <v>head_zixiaxianzi</v>
      </c>
      <c r="O105" t="str">
        <f>IFERROR(VLOOKUP(B105,Sheet2!$A$1:$C$114,3,FALSE),"")</f>
        <v>head_wenshupusa</v>
      </c>
      <c r="P105" t="str">
        <f>IFERROR(VLOOKUP(C105,Sheet2!$A$1:$C$114,3,FALSE),"")</f>
        <v/>
      </c>
      <c r="Q105" t="str">
        <f>IFERROR(VLOOKUP(D105,Sheet2!$A$1:$C$114,3,FALSE),"")</f>
        <v/>
      </c>
    </row>
    <row r="106" spans="1:17" ht="13.5" customHeight="1">
      <c r="A106" s="1" t="str">
        <f>IFERROR(VLOOKUP(A60,中介表!$B$1:$C$20,2,FALSE),"")</f>
        <v>八部天龙</v>
      </c>
      <c r="B106" s="1" t="str">
        <f>IFERROR(VLOOKUP(B60,中介表!$B$1:$C$20,2,FALSE),"")</f>
        <v>观世音</v>
      </c>
      <c r="C106" s="1" t="str">
        <f>IFERROR(VLOOKUP(C60,中介表!$B$1:$C$20,2,FALSE),"")</f>
        <v/>
      </c>
      <c r="D106" s="1" t="str">
        <f>IFERROR(VLOOKUP(D60,中介表!$B$1:$C$20,2,FALSE),"")</f>
        <v/>
      </c>
      <c r="E106" s="72">
        <f t="shared" si="14"/>
        <v>11223</v>
      </c>
      <c r="F106" s="71" t="s">
        <v>409</v>
      </c>
      <c r="G106" t="str">
        <f t="shared" si="13"/>
        <v>1214,1215</v>
      </c>
      <c r="H106" t="str">
        <f t="shared" si="15"/>
        <v>head_babutianlong,head_guanshiyin</v>
      </c>
      <c r="J106">
        <f>IFERROR(VLOOKUP(A106,Sheet2!$A$1:$B$114,2,FALSE),"")</f>
        <v>1214</v>
      </c>
      <c r="K106">
        <f>IFERROR(VLOOKUP(B106,Sheet2!$A$1:$B$114,2,FALSE),"")</f>
        <v>1215</v>
      </c>
      <c r="L106" t="str">
        <f>IFERROR(VLOOKUP(C106,Sheet2!$A$1:$B$114,2,FALSE),"")</f>
        <v/>
      </c>
      <c r="M106" t="str">
        <f>IFERROR(VLOOKUP(D106,Sheet2!$A$1:$B$114,2,FALSE),"")</f>
        <v/>
      </c>
      <c r="N106" t="str">
        <f>IFERROR(VLOOKUP(A106,Sheet2!$A$1:$C$114,3,FALSE),"")</f>
        <v>head_babutianlong</v>
      </c>
      <c r="O106" t="str">
        <f>IFERROR(VLOOKUP(B106,Sheet2!$A$1:$C$114,3,FALSE),"")</f>
        <v>head_guanshiyin</v>
      </c>
      <c r="P106" t="str">
        <f>IFERROR(VLOOKUP(C106,Sheet2!$A$1:$C$114,3,FALSE),"")</f>
        <v/>
      </c>
      <c r="Q106" t="str">
        <f>IFERROR(VLOOKUP(D106,Sheet2!$A$1:$C$114,3,FALSE),"")</f>
        <v/>
      </c>
    </row>
    <row r="107" spans="1:17" ht="13.5" customHeight="1">
      <c r="A107" s="1" t="str">
        <f>IFERROR(VLOOKUP(A61,中介表!$B$1:$C$20,2,FALSE),"")</f>
        <v>龙帝</v>
      </c>
      <c r="B107" s="1" t="str">
        <f>IFERROR(VLOOKUP(B61,中介表!$B$1:$C$20,2,FALSE),"")</f>
        <v>观世音</v>
      </c>
      <c r="C107" s="1" t="str">
        <f>IFERROR(VLOOKUP(C61,中介表!$B$1:$C$20,2,FALSE),"")</f>
        <v/>
      </c>
      <c r="D107" s="1" t="str">
        <f>IFERROR(VLOOKUP(D61,中介表!$B$1:$C$20,2,FALSE),"")</f>
        <v/>
      </c>
      <c r="E107" s="72">
        <f t="shared" si="14"/>
        <v>11224</v>
      </c>
      <c r="F107" s="71" t="s">
        <v>410</v>
      </c>
      <c r="G107" t="str">
        <f t="shared" si="13"/>
        <v>1213,1215</v>
      </c>
      <c r="H107" t="str">
        <f t="shared" si="15"/>
        <v>head_longdi,head_guanshiyin</v>
      </c>
      <c r="J107">
        <f>IFERROR(VLOOKUP(A107,Sheet2!$A$1:$B$114,2,FALSE),"")</f>
        <v>1213</v>
      </c>
      <c r="K107">
        <f>IFERROR(VLOOKUP(B107,Sheet2!$A$1:$B$114,2,FALSE),"")</f>
        <v>1215</v>
      </c>
      <c r="L107" t="str">
        <f>IFERROR(VLOOKUP(C107,Sheet2!$A$1:$B$114,2,FALSE),"")</f>
        <v/>
      </c>
      <c r="M107" t="str">
        <f>IFERROR(VLOOKUP(D107,Sheet2!$A$1:$B$114,2,FALSE),"")</f>
        <v/>
      </c>
      <c r="N107" t="str">
        <f>IFERROR(VLOOKUP(A107,Sheet2!$A$1:$C$114,3,FALSE),"")</f>
        <v>head_longdi</v>
      </c>
      <c r="O107" t="str">
        <f>IFERROR(VLOOKUP(B107,Sheet2!$A$1:$C$114,3,FALSE),"")</f>
        <v>head_guanshiyin</v>
      </c>
      <c r="P107" t="str">
        <f>IFERROR(VLOOKUP(C107,Sheet2!$A$1:$C$114,3,FALSE),"")</f>
        <v/>
      </c>
      <c r="Q107" t="str">
        <f>IFERROR(VLOOKUP(D107,Sheet2!$A$1:$C$114,3,FALSE),"")</f>
        <v/>
      </c>
    </row>
    <row r="108" spans="1:17" ht="13.5" customHeight="1">
      <c r="A108" s="1" t="str">
        <f>IFERROR(VLOOKUP(A62,中介表!$B$1:$C$20,2,FALSE),"")</f>
        <v>金蝉子</v>
      </c>
      <c r="B108" s="1" t="str">
        <f>IFERROR(VLOOKUP(B62,中介表!$B$1:$C$20,2,FALSE),"")</f>
        <v>唐三藏</v>
      </c>
      <c r="C108" s="1" t="str">
        <f>IFERROR(VLOOKUP(C62,中介表!$B$1:$C$20,2,FALSE),"")</f>
        <v/>
      </c>
      <c r="D108" s="1" t="str">
        <f>IFERROR(VLOOKUP(D62,中介表!$B$1:$C$20,2,FALSE),"")</f>
        <v/>
      </c>
      <c r="E108" s="72">
        <f t="shared" si="14"/>
        <v>11225</v>
      </c>
      <c r="F108" s="71" t="s">
        <v>411</v>
      </c>
      <c r="G108" t="str">
        <f t="shared" si="13"/>
        <v>1212,1122</v>
      </c>
      <c r="H108" t="str">
        <f t="shared" si="15"/>
        <v>head_jinchanzi,head_tangsanzang</v>
      </c>
      <c r="J108">
        <f>IFERROR(VLOOKUP(A108,Sheet2!$A$1:$B$114,2,FALSE),"")</f>
        <v>1212</v>
      </c>
      <c r="K108">
        <f>IFERROR(VLOOKUP(B108,Sheet2!$A$1:$B$114,2,FALSE),"")</f>
        <v>1122</v>
      </c>
      <c r="L108" t="str">
        <f>IFERROR(VLOOKUP(C108,Sheet2!$A$1:$B$114,2,FALSE),"")</f>
        <v/>
      </c>
      <c r="M108" t="str">
        <f>IFERROR(VLOOKUP(D108,Sheet2!$A$1:$B$114,2,FALSE),"")</f>
        <v/>
      </c>
      <c r="N108" t="str">
        <f>IFERROR(VLOOKUP(A108,Sheet2!$A$1:$C$114,3,FALSE),"")</f>
        <v>head_jinchanzi</v>
      </c>
      <c r="O108" t="str">
        <f>IFERROR(VLOOKUP(B108,Sheet2!$A$1:$C$114,3,FALSE),"")</f>
        <v>head_tangsanzang</v>
      </c>
      <c r="P108" t="str">
        <f>IFERROR(VLOOKUP(C108,Sheet2!$A$1:$C$114,3,FALSE),"")</f>
        <v/>
      </c>
      <c r="Q108" t="str">
        <f>IFERROR(VLOOKUP(D108,Sheet2!$A$1:$C$114,3,FALSE),"")</f>
        <v/>
      </c>
    </row>
    <row r="109" spans="1:17" ht="13.5" customHeight="1">
      <c r="A109" s="1" t="str">
        <f>IFERROR(VLOOKUP(A63,中介表!$B$1:$C$20,2,FALSE),"")</f>
        <v>弥勒佛</v>
      </c>
      <c r="B109" s="1" t="str">
        <f>IFERROR(VLOOKUP(B63,中介表!$B$1:$C$20,2,FALSE),"")</f>
        <v>唐三藏</v>
      </c>
      <c r="C109" s="1" t="str">
        <f>IFERROR(VLOOKUP(C63,中介表!$B$1:$C$20,2,FALSE),"")</f>
        <v/>
      </c>
      <c r="D109" s="1" t="str">
        <f>IFERROR(VLOOKUP(D63,中介表!$B$1:$C$20,2,FALSE),"")</f>
        <v/>
      </c>
      <c r="E109" s="72">
        <f t="shared" si="14"/>
        <v>11226</v>
      </c>
      <c r="F109" s="71" t="s">
        <v>412</v>
      </c>
      <c r="G109" t="str">
        <f t="shared" si="13"/>
        <v>1127,1122</v>
      </c>
      <c r="H109" t="str">
        <f t="shared" si="15"/>
        <v>head_milefo,head_tangsanzang</v>
      </c>
      <c r="J109">
        <f>IFERROR(VLOOKUP(A109,Sheet2!$A$1:$B$114,2,FALSE),"")</f>
        <v>1127</v>
      </c>
      <c r="K109">
        <f>IFERROR(VLOOKUP(B109,Sheet2!$A$1:$B$114,2,FALSE),"")</f>
        <v>1122</v>
      </c>
      <c r="L109" t="str">
        <f>IFERROR(VLOOKUP(C109,Sheet2!$A$1:$B$114,2,FALSE),"")</f>
        <v/>
      </c>
      <c r="M109" t="str">
        <f>IFERROR(VLOOKUP(D109,Sheet2!$A$1:$B$114,2,FALSE),"")</f>
        <v/>
      </c>
      <c r="N109" t="str">
        <f>IFERROR(VLOOKUP(A109,Sheet2!$A$1:$C$114,3,FALSE),"")</f>
        <v>head_milefo</v>
      </c>
      <c r="O109" t="str">
        <f>IFERROR(VLOOKUP(B109,Sheet2!$A$1:$C$114,3,FALSE),"")</f>
        <v>head_tangsanzang</v>
      </c>
      <c r="P109" t="str">
        <f>IFERROR(VLOOKUP(C109,Sheet2!$A$1:$C$114,3,FALSE),"")</f>
        <v/>
      </c>
      <c r="Q109" t="str">
        <f>IFERROR(VLOOKUP(D109,Sheet2!$A$1:$C$114,3,FALSE),"")</f>
        <v/>
      </c>
    </row>
    <row r="110" spans="1:17" ht="13.5" customHeight="1">
      <c r="A110" s="1" t="str">
        <f>IFERROR(VLOOKUP(A64,中介表!$B$1:$C$20,2,FALSE),"")</f>
        <v>金蝉子</v>
      </c>
      <c r="B110" s="1" t="str">
        <f>IFERROR(VLOOKUP(B64,中介表!$B$1:$C$20,2,FALSE),"")</f>
        <v>迦叶</v>
      </c>
      <c r="C110" s="1" t="str">
        <f>IFERROR(VLOOKUP(C64,中介表!$B$1:$C$20,2,FALSE),"")</f>
        <v/>
      </c>
      <c r="D110" s="1" t="str">
        <f>IFERROR(VLOOKUP(D64,中介表!$B$1:$C$20,2,FALSE),"")</f>
        <v/>
      </c>
      <c r="E110" s="72">
        <f t="shared" si="14"/>
        <v>11227</v>
      </c>
      <c r="F110" s="71" t="s">
        <v>413</v>
      </c>
      <c r="G110" t="str">
        <f t="shared" si="13"/>
        <v>1212,1125</v>
      </c>
      <c r="H110" t="str">
        <f t="shared" si="15"/>
        <v>head_jinchanzi,head_jiaye</v>
      </c>
      <c r="J110">
        <f>IFERROR(VLOOKUP(A110,Sheet2!$A$1:$B$114,2,FALSE),"")</f>
        <v>1212</v>
      </c>
      <c r="K110">
        <f>IFERROR(VLOOKUP(B110,Sheet2!$A$1:$B$114,2,FALSE),"")</f>
        <v>1125</v>
      </c>
      <c r="L110" t="str">
        <f>IFERROR(VLOOKUP(C110,Sheet2!$A$1:$B$114,2,FALSE),"")</f>
        <v/>
      </c>
      <c r="M110" t="str">
        <f>IFERROR(VLOOKUP(D110,Sheet2!$A$1:$B$114,2,FALSE),"")</f>
        <v/>
      </c>
      <c r="N110" t="str">
        <f>IFERROR(VLOOKUP(A110,Sheet2!$A$1:$C$114,3,FALSE),"")</f>
        <v>head_jinchanzi</v>
      </c>
      <c r="O110" t="str">
        <f>IFERROR(VLOOKUP(B110,Sheet2!$A$1:$C$114,3,FALSE),"")</f>
        <v>head_jiaye</v>
      </c>
      <c r="P110" t="str">
        <f>IFERROR(VLOOKUP(C110,Sheet2!$A$1:$C$114,3,FALSE),"")</f>
        <v/>
      </c>
      <c r="Q110" t="str">
        <f>IFERROR(VLOOKUP(D110,Sheet2!$A$1:$C$114,3,FALSE),"")</f>
        <v/>
      </c>
    </row>
    <row r="111" spans="1:17" ht="13.5" customHeight="1">
      <c r="A111" s="1" t="str">
        <f>IFERROR(VLOOKUP(A65,中介表!$B$1:$C$20,2,FALSE),"")</f>
        <v>弥勒佛</v>
      </c>
      <c r="B111" s="1" t="str">
        <f>IFERROR(VLOOKUP(B65,中介表!$B$1:$C$20,2,FALSE),"")</f>
        <v>迦叶</v>
      </c>
      <c r="C111" s="1" t="str">
        <f>IFERROR(VLOOKUP(C65,中介表!$B$1:$C$20,2,FALSE),"")</f>
        <v/>
      </c>
      <c r="D111" s="1" t="str">
        <f>IFERROR(VLOOKUP(D65,中介表!$B$1:$C$20,2,FALSE),"")</f>
        <v/>
      </c>
      <c r="E111" s="72">
        <f t="shared" si="14"/>
        <v>11228</v>
      </c>
      <c r="F111" s="71" t="s">
        <v>414</v>
      </c>
      <c r="G111" t="str">
        <f t="shared" si="13"/>
        <v>1127,1125</v>
      </c>
      <c r="H111" t="str">
        <f t="shared" si="15"/>
        <v>head_milefo,head_jiaye</v>
      </c>
      <c r="J111">
        <f>IFERROR(VLOOKUP(A111,Sheet2!$A$1:$B$114,2,FALSE),"")</f>
        <v>1127</v>
      </c>
      <c r="K111">
        <f>IFERROR(VLOOKUP(B111,Sheet2!$A$1:$B$114,2,FALSE),"")</f>
        <v>1125</v>
      </c>
      <c r="L111" t="str">
        <f>IFERROR(VLOOKUP(C111,Sheet2!$A$1:$B$114,2,FALSE),"")</f>
        <v/>
      </c>
      <c r="M111" t="str">
        <f>IFERROR(VLOOKUP(D111,Sheet2!$A$1:$B$114,2,FALSE),"")</f>
        <v/>
      </c>
      <c r="N111" t="str">
        <f>IFERROR(VLOOKUP(A111,Sheet2!$A$1:$C$114,3,FALSE),"")</f>
        <v>head_milefo</v>
      </c>
      <c r="O111" t="str">
        <f>IFERROR(VLOOKUP(B111,Sheet2!$A$1:$C$114,3,FALSE),"")</f>
        <v>head_jiaye</v>
      </c>
      <c r="P111" t="str">
        <f>IFERROR(VLOOKUP(C111,Sheet2!$A$1:$C$114,3,FALSE),"")</f>
        <v/>
      </c>
      <c r="Q111" t="str">
        <f>IFERROR(VLOOKUP(D111,Sheet2!$A$1:$C$114,3,FALSE),"")</f>
        <v/>
      </c>
    </row>
    <row r="112" spans="1:17" ht="13.5" customHeight="1">
      <c r="A112" s="1" t="str">
        <f>IFERROR(VLOOKUP(A66,中介表!$B$1:$C$20,2,FALSE),"")</f>
        <v>金蝉子</v>
      </c>
      <c r="B112" s="1" t="str">
        <f>IFERROR(VLOOKUP(B66,中介表!$B$1:$C$20,2,FALSE),"")</f>
        <v>弥勒佛</v>
      </c>
      <c r="C112" s="1" t="str">
        <f>IFERROR(VLOOKUP(C66,中介表!$B$1:$C$20,2,FALSE),"")</f>
        <v/>
      </c>
      <c r="D112" s="1" t="str">
        <f>IFERROR(VLOOKUP(D66,中介表!$B$1:$C$20,2,FALSE),"")</f>
        <v/>
      </c>
      <c r="E112" s="72">
        <f t="shared" si="14"/>
        <v>11229</v>
      </c>
      <c r="F112" s="71" t="s">
        <v>415</v>
      </c>
      <c r="G112" t="str">
        <f t="shared" si="13"/>
        <v>1212,1127</v>
      </c>
      <c r="H112" t="str">
        <f t="shared" si="15"/>
        <v>head_jinchanzi,head_milefo</v>
      </c>
      <c r="J112">
        <f>IFERROR(VLOOKUP(A112,Sheet2!$A$1:$B$114,2,FALSE),"")</f>
        <v>1212</v>
      </c>
      <c r="K112">
        <f>IFERROR(VLOOKUP(B112,Sheet2!$A$1:$B$114,2,FALSE),"")</f>
        <v>1127</v>
      </c>
      <c r="L112" t="str">
        <f>IFERROR(VLOOKUP(C112,Sheet2!$A$1:$B$114,2,FALSE),"")</f>
        <v/>
      </c>
      <c r="M112" t="str">
        <f>IFERROR(VLOOKUP(D112,Sheet2!$A$1:$B$114,2,FALSE),"")</f>
        <v/>
      </c>
      <c r="N112" t="str">
        <f>IFERROR(VLOOKUP(A112,Sheet2!$A$1:$C$114,3,FALSE),"")</f>
        <v>head_jinchanzi</v>
      </c>
      <c r="O112" t="str">
        <f>IFERROR(VLOOKUP(B112,Sheet2!$A$1:$C$114,3,FALSE),"")</f>
        <v>head_milefo</v>
      </c>
      <c r="P112" t="str">
        <f>IFERROR(VLOOKUP(C112,Sheet2!$A$1:$C$114,3,FALSE),"")</f>
        <v/>
      </c>
      <c r="Q112" t="str">
        <f>IFERROR(VLOOKUP(D112,Sheet2!$A$1:$C$114,3,FALSE),"")</f>
        <v/>
      </c>
    </row>
    <row r="113" spans="1:17" ht="13.5" customHeight="1">
      <c r="A113" s="1" t="str">
        <f>IFERROR(VLOOKUP(A67,中介表!$B$1:$C$20,2,FALSE),"")</f>
        <v>斗战胜佛</v>
      </c>
      <c r="B113" s="1" t="str">
        <f>IFERROR(VLOOKUP(B67,中介表!$B$1:$C$20,2,FALSE),"")</f>
        <v>红孩儿</v>
      </c>
      <c r="C113" s="1" t="str">
        <f>IFERROR(VLOOKUP(C67,中介表!$B$1:$C$20,2,FALSE),"")</f>
        <v/>
      </c>
      <c r="D113" s="1" t="str">
        <f>IFERROR(VLOOKUP(D67,中介表!$B$1:$C$20,2,FALSE),"")</f>
        <v/>
      </c>
      <c r="E113" s="72">
        <f t="shared" si="14"/>
        <v>11230</v>
      </c>
      <c r="F113" s="71" t="s">
        <v>416</v>
      </c>
      <c r="G113" t="str">
        <f t="shared" si="13"/>
        <v>1211,1110</v>
      </c>
      <c r="H113" t="str">
        <f t="shared" si="15"/>
        <v>head_douzhanshengfo,head_honghaier</v>
      </c>
      <c r="J113">
        <f>IFERROR(VLOOKUP(A113,Sheet2!$A$1:$B$114,2,FALSE),"")</f>
        <v>1211</v>
      </c>
      <c r="K113">
        <f>IFERROR(VLOOKUP(B113,Sheet2!$A$1:$B$114,2,FALSE),"")</f>
        <v>1110</v>
      </c>
      <c r="L113" t="str">
        <f>IFERROR(VLOOKUP(C113,Sheet2!$A$1:$B$114,2,FALSE),"")</f>
        <v/>
      </c>
      <c r="M113" t="str">
        <f>IFERROR(VLOOKUP(D113,Sheet2!$A$1:$B$114,2,FALSE),"")</f>
        <v/>
      </c>
      <c r="N113" t="str">
        <f>IFERROR(VLOOKUP(A113,Sheet2!$A$1:$C$114,3,FALSE),"")</f>
        <v>head_douzhanshengfo</v>
      </c>
      <c r="O113" t="str">
        <f>IFERROR(VLOOKUP(B113,Sheet2!$A$1:$C$114,3,FALSE),"")</f>
        <v>head_honghaier</v>
      </c>
      <c r="P113" t="str">
        <f>IFERROR(VLOOKUP(C113,Sheet2!$A$1:$C$114,3,FALSE),"")</f>
        <v/>
      </c>
      <c r="Q113" t="str">
        <f>IFERROR(VLOOKUP(D113,Sheet2!$A$1:$C$114,3,FALSE),"")</f>
        <v/>
      </c>
    </row>
    <row r="114" spans="1:17" ht="13.5" customHeight="1">
      <c r="A114" s="1" t="str">
        <f>IFERROR(VLOOKUP(A68,中介表!$B$1:$C$20,2,FALSE),"")</f>
        <v>八部天龙</v>
      </c>
      <c r="B114" s="1" t="str">
        <f>IFERROR(VLOOKUP(B68,中介表!$B$1:$C$20,2,FALSE),"")</f>
        <v>红孩儿</v>
      </c>
      <c r="C114" s="1" t="str">
        <f>IFERROR(VLOOKUP(C68,中介表!$B$1:$C$20,2,FALSE),"")</f>
        <v/>
      </c>
      <c r="D114" s="1" t="str">
        <f>IFERROR(VLOOKUP(D68,中介表!$B$1:$C$20,2,FALSE),"")</f>
        <v/>
      </c>
      <c r="E114" s="72">
        <f t="shared" si="14"/>
        <v>11231</v>
      </c>
      <c r="F114" s="71" t="s">
        <v>417</v>
      </c>
      <c r="G114" t="str">
        <f t="shared" si="13"/>
        <v>1214,1110</v>
      </c>
      <c r="H114" t="str">
        <f t="shared" si="15"/>
        <v>head_babutianlong,head_honghaier</v>
      </c>
      <c r="J114">
        <f>IFERROR(VLOOKUP(A114,Sheet2!$A$1:$B$114,2,FALSE),"")</f>
        <v>1214</v>
      </c>
      <c r="K114">
        <f>IFERROR(VLOOKUP(B114,Sheet2!$A$1:$B$114,2,FALSE),"")</f>
        <v>1110</v>
      </c>
      <c r="L114" t="str">
        <f>IFERROR(VLOOKUP(C114,Sheet2!$A$1:$B$114,2,FALSE),"")</f>
        <v/>
      </c>
      <c r="M114" t="str">
        <f>IFERROR(VLOOKUP(D114,Sheet2!$A$1:$B$114,2,FALSE),"")</f>
        <v/>
      </c>
      <c r="N114" t="str">
        <f>IFERROR(VLOOKUP(A114,Sheet2!$A$1:$C$114,3,FALSE),"")</f>
        <v>head_babutianlong</v>
      </c>
      <c r="O114" t="str">
        <f>IFERROR(VLOOKUP(B114,Sheet2!$A$1:$C$114,3,FALSE),"")</f>
        <v>head_honghaier</v>
      </c>
      <c r="P114" t="str">
        <f>IFERROR(VLOOKUP(C114,Sheet2!$A$1:$C$114,3,FALSE),"")</f>
        <v/>
      </c>
      <c r="Q114" t="str">
        <f>IFERROR(VLOOKUP(D114,Sheet2!$A$1:$C$114,3,FALSE),"")</f>
        <v/>
      </c>
    </row>
    <row r="115" spans="1:17" ht="13.5" customHeight="1">
      <c r="A115" s="1" t="str">
        <f>IFERROR(VLOOKUP(A69,中介表!$B$1:$C$20,2,FALSE),"")</f>
        <v>紫霞仙子</v>
      </c>
      <c r="B115" s="1" t="str">
        <f>IFERROR(VLOOKUP(B69,中介表!$B$1:$C$20,2,FALSE),"")</f>
        <v>引魂仙子</v>
      </c>
      <c r="C115" s="1" t="str">
        <f>IFERROR(VLOOKUP(C69,中介表!$B$1:$C$20,2,FALSE),"")</f>
        <v/>
      </c>
      <c r="D115" s="1" t="str">
        <f>IFERROR(VLOOKUP(D69,中介表!$B$1:$C$20,2,FALSE),"")</f>
        <v/>
      </c>
      <c r="E115" s="72">
        <f t="shared" si="14"/>
        <v>11232</v>
      </c>
      <c r="F115" s="71" t="s">
        <v>418</v>
      </c>
      <c r="G115" t="str">
        <f t="shared" si="13"/>
        <v>1121,1207</v>
      </c>
      <c r="H115" t="str">
        <f t="shared" si="15"/>
        <v>head_zixiaxianzi,head_yinhunxianzi</v>
      </c>
      <c r="J115">
        <f>IFERROR(VLOOKUP(A115,Sheet2!$A$1:$B$114,2,FALSE),"")</f>
        <v>1121</v>
      </c>
      <c r="K115">
        <f>IFERROR(VLOOKUP(B115,Sheet2!$A$1:$B$114,2,FALSE),"")</f>
        <v>1207</v>
      </c>
      <c r="L115" t="str">
        <f>IFERROR(VLOOKUP(C115,Sheet2!$A$1:$B$114,2,FALSE),"")</f>
        <v/>
      </c>
      <c r="M115" t="str">
        <f>IFERROR(VLOOKUP(D115,Sheet2!$A$1:$B$114,2,FALSE),"")</f>
        <v/>
      </c>
      <c r="N115" t="str">
        <f>IFERROR(VLOOKUP(A115,Sheet2!$A$1:$C$114,3,FALSE),"")</f>
        <v>head_zixiaxianzi</v>
      </c>
      <c r="O115" t="str">
        <f>IFERROR(VLOOKUP(B115,Sheet2!$A$1:$C$114,3,FALSE),"")</f>
        <v>head_yinhunxianzi</v>
      </c>
      <c r="P115" t="str">
        <f>IFERROR(VLOOKUP(C115,Sheet2!$A$1:$C$114,3,FALSE),"")</f>
        <v/>
      </c>
      <c r="Q115" t="str">
        <f>IFERROR(VLOOKUP(D115,Sheet2!$A$1:$C$114,3,FALSE),"")</f>
        <v/>
      </c>
    </row>
    <row r="116" spans="1:17" ht="13.5" customHeight="1">
      <c r="A116" s="1" t="str">
        <f>IFERROR(VLOOKUP(A70,中介表!$B$1:$C$20,2,FALSE),"")</f>
        <v>龙帝</v>
      </c>
      <c r="B116" s="1" t="str">
        <f>IFERROR(VLOOKUP(B70,中介表!$B$1:$C$20,2,FALSE),"")</f>
        <v>引魂仙子</v>
      </c>
      <c r="C116" s="1" t="str">
        <f>IFERROR(VLOOKUP(C70,中介表!$B$1:$C$20,2,FALSE),"")</f>
        <v/>
      </c>
      <c r="D116" s="1" t="str">
        <f>IFERROR(VLOOKUP(D70,中介表!$B$1:$C$20,2,FALSE),"")</f>
        <v/>
      </c>
      <c r="E116" s="72">
        <f t="shared" si="14"/>
        <v>11233</v>
      </c>
      <c r="F116" s="71" t="s">
        <v>419</v>
      </c>
      <c r="G116" t="str">
        <f t="shared" si="13"/>
        <v>1213,1207</v>
      </c>
      <c r="H116" t="str">
        <f t="shared" si="15"/>
        <v>head_longdi,head_yinhunxianzi</v>
      </c>
      <c r="J116">
        <f>IFERROR(VLOOKUP(A116,Sheet2!$A$1:$B$114,2,FALSE),"")</f>
        <v>1213</v>
      </c>
      <c r="K116">
        <f>IFERROR(VLOOKUP(B116,Sheet2!$A$1:$B$114,2,FALSE),"")</f>
        <v>1207</v>
      </c>
      <c r="L116" t="str">
        <f>IFERROR(VLOOKUP(C116,Sheet2!$A$1:$B$114,2,FALSE),"")</f>
        <v/>
      </c>
      <c r="M116" t="str">
        <f>IFERROR(VLOOKUP(D116,Sheet2!$A$1:$B$114,2,FALSE),"")</f>
        <v/>
      </c>
      <c r="N116" t="str">
        <f>IFERROR(VLOOKUP(A116,Sheet2!$A$1:$C$114,3,FALSE),"")</f>
        <v>head_longdi</v>
      </c>
      <c r="O116" t="str">
        <f>IFERROR(VLOOKUP(B116,Sheet2!$A$1:$C$114,3,FALSE),"")</f>
        <v>head_yinhunxianzi</v>
      </c>
      <c r="P116" t="str">
        <f>IFERROR(VLOOKUP(C116,Sheet2!$A$1:$C$114,3,FALSE),"")</f>
        <v/>
      </c>
      <c r="Q116" t="str">
        <f>IFERROR(VLOOKUP(D116,Sheet2!$A$1:$C$114,3,FALSE),"")</f>
        <v/>
      </c>
    </row>
    <row r="117" spans="1:17" ht="13.5" customHeight="1">
      <c r="A117" s="1" t="str">
        <f>IFERROR(VLOOKUP(A71,中介表!$B$1:$C$20,2,FALSE),"")</f>
        <v>斗战胜佛</v>
      </c>
      <c r="B117" s="1" t="str">
        <f>IFERROR(VLOOKUP(B71,中介表!$B$1:$C$20,2,FALSE),"")</f>
        <v>人参娃</v>
      </c>
      <c r="C117" s="1" t="str">
        <f>IFERROR(VLOOKUP(C71,中介表!$B$1:$C$20,2,FALSE),"")</f>
        <v/>
      </c>
      <c r="D117" s="1" t="str">
        <f>IFERROR(VLOOKUP(D71,中介表!$B$1:$C$20,2,FALSE),"")</f>
        <v/>
      </c>
      <c r="E117" s="72">
        <f t="shared" si="14"/>
        <v>11234</v>
      </c>
      <c r="F117" s="71" t="s">
        <v>420</v>
      </c>
      <c r="G117" t="str">
        <f t="shared" si="13"/>
        <v>1211,1202</v>
      </c>
      <c r="H117" t="str">
        <f t="shared" si="15"/>
        <v>head_douzhanshengfo,head_renshenwa</v>
      </c>
      <c r="J117">
        <f>IFERROR(VLOOKUP(A117,Sheet2!$A$1:$B$114,2,FALSE),"")</f>
        <v>1211</v>
      </c>
      <c r="K117">
        <f>IFERROR(VLOOKUP(B117,Sheet2!$A$1:$B$114,2,FALSE),"")</f>
        <v>1202</v>
      </c>
      <c r="L117" t="str">
        <f>IFERROR(VLOOKUP(C117,Sheet2!$A$1:$B$114,2,FALSE),"")</f>
        <v/>
      </c>
      <c r="M117" t="str">
        <f>IFERROR(VLOOKUP(D117,Sheet2!$A$1:$B$114,2,FALSE),"")</f>
        <v/>
      </c>
      <c r="N117" t="str">
        <f>IFERROR(VLOOKUP(A117,Sheet2!$A$1:$C$114,3,FALSE),"")</f>
        <v>head_douzhanshengfo</v>
      </c>
      <c r="O117" t="str">
        <f>IFERROR(VLOOKUP(B117,Sheet2!$A$1:$C$114,3,FALSE),"")</f>
        <v>head_renshenwa</v>
      </c>
      <c r="P117" t="str">
        <f>IFERROR(VLOOKUP(C117,Sheet2!$A$1:$C$114,3,FALSE),"")</f>
        <v/>
      </c>
      <c r="Q117" t="str">
        <f>IFERROR(VLOOKUP(D117,Sheet2!$A$1:$C$114,3,FALSE),"")</f>
        <v/>
      </c>
    </row>
    <row r="118" spans="1:17" ht="13.5" customHeight="1">
      <c r="A118" s="1" t="str">
        <f>IFERROR(VLOOKUP(A72,中介表!$B$1:$C$20,2,FALSE),"")</f>
        <v>八部天龙</v>
      </c>
      <c r="B118" s="1" t="str">
        <f>IFERROR(VLOOKUP(B72,中介表!$B$1:$C$20,2,FALSE),"")</f>
        <v>人参娃</v>
      </c>
      <c r="C118" s="1" t="str">
        <f>IFERROR(VLOOKUP(C72,中介表!$B$1:$C$20,2,FALSE),"")</f>
        <v/>
      </c>
      <c r="D118" s="1" t="str">
        <f>IFERROR(VLOOKUP(D72,中介表!$B$1:$C$20,2,FALSE),"")</f>
        <v/>
      </c>
      <c r="E118" s="72">
        <f t="shared" si="14"/>
        <v>11235</v>
      </c>
      <c r="F118" s="71" t="s">
        <v>421</v>
      </c>
      <c r="G118" t="str">
        <f t="shared" si="13"/>
        <v>1214,1202</v>
      </c>
      <c r="H118" t="str">
        <f t="shared" si="15"/>
        <v>head_babutianlong,head_renshenwa</v>
      </c>
      <c r="J118">
        <f>IFERROR(VLOOKUP(A118,Sheet2!$A$1:$B$114,2,FALSE),"")</f>
        <v>1214</v>
      </c>
      <c r="K118">
        <f>IFERROR(VLOOKUP(B118,Sheet2!$A$1:$B$114,2,FALSE),"")</f>
        <v>1202</v>
      </c>
      <c r="L118" t="str">
        <f>IFERROR(VLOOKUP(C118,Sheet2!$A$1:$B$114,2,FALSE),"")</f>
        <v/>
      </c>
      <c r="M118" t="str">
        <f>IFERROR(VLOOKUP(D118,Sheet2!$A$1:$B$114,2,FALSE),"")</f>
        <v/>
      </c>
      <c r="N118" t="str">
        <f>IFERROR(VLOOKUP(A118,Sheet2!$A$1:$C$114,3,FALSE),"")</f>
        <v>head_babutianlong</v>
      </c>
      <c r="O118" t="str">
        <f>IFERROR(VLOOKUP(B118,Sheet2!$A$1:$C$114,3,FALSE),"")</f>
        <v>head_renshenwa</v>
      </c>
      <c r="P118" t="str">
        <f>IFERROR(VLOOKUP(C118,Sheet2!$A$1:$C$114,3,FALSE),"")</f>
        <v/>
      </c>
      <c r="Q118" t="str">
        <f>IFERROR(VLOOKUP(D118,Sheet2!$A$1:$C$114,3,FALSE),"")</f>
        <v/>
      </c>
    </row>
    <row r="119" spans="1:17" ht="13.5" customHeight="1">
      <c r="A119" s="1" t="str">
        <f>IFERROR(VLOOKUP(A73,中介表!$B$1:$C$20,2,FALSE),"")</f>
        <v>紫霞仙子</v>
      </c>
      <c r="B119" s="1" t="str">
        <f>IFERROR(VLOOKUP(B73,中介表!$B$1:$C$20,2,FALSE),"")</f>
        <v>女儿国国王</v>
      </c>
      <c r="C119" s="1" t="str">
        <f>IFERROR(VLOOKUP(C73,中介表!$B$1:$C$20,2,FALSE),"")</f>
        <v/>
      </c>
      <c r="D119" s="1" t="str">
        <f>IFERROR(VLOOKUP(D73,中介表!$B$1:$C$20,2,FALSE),"")</f>
        <v/>
      </c>
      <c r="E119" s="72">
        <f t="shared" si="14"/>
        <v>11236</v>
      </c>
      <c r="F119" s="71" t="s">
        <v>422</v>
      </c>
      <c r="G119" t="str">
        <f t="shared" si="13"/>
        <v>1121,1216</v>
      </c>
      <c r="H119" t="str">
        <f t="shared" si="15"/>
        <v>head_zixiaxianzi,head_nverguoguowang</v>
      </c>
      <c r="J119">
        <f>IFERROR(VLOOKUP(A119,Sheet2!$A$1:$B$114,2,FALSE),"")</f>
        <v>1121</v>
      </c>
      <c r="K119">
        <f>IFERROR(VLOOKUP(B119,Sheet2!$A$1:$B$114,2,FALSE),"")</f>
        <v>1216</v>
      </c>
      <c r="L119" t="str">
        <f>IFERROR(VLOOKUP(C119,Sheet2!$A$1:$B$114,2,FALSE),"")</f>
        <v/>
      </c>
      <c r="M119" t="str">
        <f>IFERROR(VLOOKUP(D119,Sheet2!$A$1:$B$114,2,FALSE),"")</f>
        <v/>
      </c>
      <c r="N119" t="str">
        <f>IFERROR(VLOOKUP(A119,Sheet2!$A$1:$C$114,3,FALSE),"")</f>
        <v>head_zixiaxianzi</v>
      </c>
      <c r="O119" t="str">
        <f>IFERROR(VLOOKUP(B119,Sheet2!$A$1:$C$114,3,FALSE),"")</f>
        <v>head_nverguoguowang</v>
      </c>
      <c r="P119" t="str">
        <f>IFERROR(VLOOKUP(C119,Sheet2!$A$1:$C$114,3,FALSE),"")</f>
        <v/>
      </c>
      <c r="Q119" t="str">
        <f>IFERROR(VLOOKUP(D119,Sheet2!$A$1:$C$114,3,FALSE),"")</f>
        <v/>
      </c>
    </row>
    <row r="120" spans="1:17" ht="13.5" customHeight="1">
      <c r="A120" s="1" t="str">
        <f>IFERROR(VLOOKUP(A74,中介表!$B$1:$C$20,2,FALSE),"")</f>
        <v>龙帝</v>
      </c>
      <c r="B120" s="1" t="str">
        <f>IFERROR(VLOOKUP(B74,中介表!$B$1:$C$20,2,FALSE),"")</f>
        <v>女儿国国王</v>
      </c>
      <c r="C120" s="1" t="str">
        <f>IFERROR(VLOOKUP(C74,中介表!$B$1:$C$20,2,FALSE),"")</f>
        <v/>
      </c>
      <c r="D120" s="1" t="str">
        <f>IFERROR(VLOOKUP(D74,中介表!$B$1:$C$20,2,FALSE),"")</f>
        <v/>
      </c>
      <c r="E120" s="72">
        <f t="shared" si="14"/>
        <v>11237</v>
      </c>
      <c r="F120" s="71" t="s">
        <v>423</v>
      </c>
      <c r="G120" t="str">
        <f t="shared" si="13"/>
        <v>1213,1216</v>
      </c>
      <c r="H120" t="str">
        <f t="shared" si="15"/>
        <v>head_longdi,head_nverguoguowang</v>
      </c>
      <c r="J120">
        <f>IFERROR(VLOOKUP(A120,Sheet2!$A$1:$B$114,2,FALSE),"")</f>
        <v>1213</v>
      </c>
      <c r="K120">
        <f>IFERROR(VLOOKUP(B120,Sheet2!$A$1:$B$114,2,FALSE),"")</f>
        <v>1216</v>
      </c>
      <c r="L120" t="str">
        <f>IFERROR(VLOOKUP(C120,Sheet2!$A$1:$B$114,2,FALSE),"")</f>
        <v/>
      </c>
      <c r="M120" t="str">
        <f>IFERROR(VLOOKUP(D120,Sheet2!$A$1:$B$114,2,FALSE),"")</f>
        <v/>
      </c>
      <c r="N120" t="str">
        <f>IFERROR(VLOOKUP(A120,Sheet2!$A$1:$C$114,3,FALSE),"")</f>
        <v>head_longdi</v>
      </c>
      <c r="O120" t="str">
        <f>IFERROR(VLOOKUP(B120,Sheet2!$A$1:$C$114,3,FALSE),"")</f>
        <v>head_nverguoguowang</v>
      </c>
      <c r="P120" t="str">
        <f>IFERROR(VLOOKUP(C120,Sheet2!$A$1:$C$114,3,FALSE),"")</f>
        <v/>
      </c>
      <c r="Q120" t="str">
        <f>IFERROR(VLOOKUP(D120,Sheet2!$A$1:$C$114,3,FALSE),"")</f>
        <v/>
      </c>
    </row>
    <row r="121" spans="1:17" ht="13.5" customHeight="1">
      <c r="A121" s="1" t="str">
        <f>IFERROR(VLOOKUP(A75,中介表!$B$1:$C$20,2,FALSE),"")</f>
        <v>斗战胜佛</v>
      </c>
      <c r="B121" s="1" t="str">
        <f>IFERROR(VLOOKUP(B75,中介表!$B$1:$C$20,2,FALSE),"")</f>
        <v>唐三藏</v>
      </c>
      <c r="C121" s="1" t="str">
        <f>IFERROR(VLOOKUP(C75,中介表!$B$1:$C$20,2,FALSE),"")</f>
        <v/>
      </c>
      <c r="D121" s="1" t="str">
        <f>IFERROR(VLOOKUP(D75,中介表!$B$1:$C$20,2,FALSE),"")</f>
        <v/>
      </c>
      <c r="E121" s="72">
        <f t="shared" si="14"/>
        <v>11238</v>
      </c>
      <c r="F121" s="71" t="s">
        <v>424</v>
      </c>
      <c r="G121" t="str">
        <f t="shared" si="13"/>
        <v>1211,1122</v>
      </c>
      <c r="H121" t="str">
        <f t="shared" si="15"/>
        <v>head_douzhanshengfo,head_tangsanzang</v>
      </c>
      <c r="J121">
        <f>IFERROR(VLOOKUP(A121,Sheet2!$A$1:$B$114,2,FALSE),"")</f>
        <v>1211</v>
      </c>
      <c r="K121">
        <f>IFERROR(VLOOKUP(B121,Sheet2!$A$1:$B$114,2,FALSE),"")</f>
        <v>1122</v>
      </c>
      <c r="L121" t="str">
        <f>IFERROR(VLOOKUP(C121,Sheet2!$A$1:$B$114,2,FALSE),"")</f>
        <v/>
      </c>
      <c r="M121" t="str">
        <f>IFERROR(VLOOKUP(D121,Sheet2!$A$1:$B$114,2,FALSE),"")</f>
        <v/>
      </c>
      <c r="N121" t="str">
        <f>IFERROR(VLOOKUP(A121,Sheet2!$A$1:$C$114,3,FALSE),"")</f>
        <v>head_douzhanshengfo</v>
      </c>
      <c r="O121" t="str">
        <f>IFERROR(VLOOKUP(B121,Sheet2!$A$1:$C$114,3,FALSE),"")</f>
        <v>head_tangsanzang</v>
      </c>
      <c r="P121" t="str">
        <f>IFERROR(VLOOKUP(C121,Sheet2!$A$1:$C$114,3,FALSE),"")</f>
        <v/>
      </c>
      <c r="Q121" t="str">
        <f>IFERROR(VLOOKUP(D121,Sheet2!$A$1:$C$114,3,FALSE),"")</f>
        <v/>
      </c>
    </row>
    <row r="122" spans="1:17" ht="13.5" customHeight="1">
      <c r="A122" s="1" t="str">
        <f>IFERROR(VLOOKUP(A76,中介表!$B$1:$C$20,2,FALSE),"")</f>
        <v>紫霞仙子</v>
      </c>
      <c r="B122" s="1" t="str">
        <f>IFERROR(VLOOKUP(B76,中介表!$B$1:$C$20,2,FALSE),"")</f>
        <v>迦叶</v>
      </c>
      <c r="C122" s="1" t="str">
        <f>IFERROR(VLOOKUP(C76,中介表!$B$1:$C$20,2,FALSE),"")</f>
        <v/>
      </c>
      <c r="D122" s="1" t="str">
        <f>IFERROR(VLOOKUP(D76,中介表!$B$1:$C$20,2,FALSE),"")</f>
        <v/>
      </c>
      <c r="E122" s="72">
        <f t="shared" si="14"/>
        <v>11239</v>
      </c>
      <c r="F122" s="71" t="s">
        <v>425</v>
      </c>
      <c r="G122" t="str">
        <f t="shared" si="13"/>
        <v>1121,1125</v>
      </c>
      <c r="H122" t="str">
        <f t="shared" si="15"/>
        <v>head_zixiaxianzi,head_jiaye</v>
      </c>
      <c r="J122">
        <f>IFERROR(VLOOKUP(A122,Sheet2!$A$1:$B$114,2,FALSE),"")</f>
        <v>1121</v>
      </c>
      <c r="K122">
        <f>IFERROR(VLOOKUP(B122,Sheet2!$A$1:$B$114,2,FALSE),"")</f>
        <v>1125</v>
      </c>
      <c r="L122" t="str">
        <f>IFERROR(VLOOKUP(C122,Sheet2!$A$1:$B$114,2,FALSE),"")</f>
        <v/>
      </c>
      <c r="M122" t="str">
        <f>IFERROR(VLOOKUP(D122,Sheet2!$A$1:$B$114,2,FALSE),"")</f>
        <v/>
      </c>
      <c r="N122" t="str">
        <f>IFERROR(VLOOKUP(A122,Sheet2!$A$1:$C$114,3,FALSE),"")</f>
        <v>head_zixiaxianzi</v>
      </c>
      <c r="O122" t="str">
        <f>IFERROR(VLOOKUP(B122,Sheet2!$A$1:$C$114,3,FALSE),"")</f>
        <v>head_jiaye</v>
      </c>
      <c r="P122" t="str">
        <f>IFERROR(VLOOKUP(C122,Sheet2!$A$1:$C$114,3,FALSE),"")</f>
        <v/>
      </c>
      <c r="Q122" t="str">
        <f>IFERROR(VLOOKUP(D122,Sheet2!$A$1:$C$114,3,FALSE),"")</f>
        <v/>
      </c>
    </row>
    <row r="123" spans="1:17" ht="13.5" customHeight="1">
      <c r="A123" s="1" t="str">
        <f>IFERROR(VLOOKUP(A77,中介表!$B$1:$C$20,2,FALSE),"")</f>
        <v>八部天龙</v>
      </c>
      <c r="B123" s="1" t="str">
        <f>IFERROR(VLOOKUP(B77,中介表!$B$1:$C$20,2,FALSE),"")</f>
        <v>女儿国国王</v>
      </c>
      <c r="C123" s="1" t="str">
        <f>IFERROR(VLOOKUP(C77,中介表!$B$1:$C$20,2,FALSE),"")</f>
        <v/>
      </c>
      <c r="D123" s="1" t="str">
        <f>IFERROR(VLOOKUP(D77,中介表!$B$1:$C$20,2,FALSE),"")</f>
        <v/>
      </c>
      <c r="E123" s="72">
        <f t="shared" si="14"/>
        <v>11240</v>
      </c>
      <c r="F123" s="71" t="s">
        <v>426</v>
      </c>
      <c r="G123" t="str">
        <f t="shared" si="13"/>
        <v>1214,1216</v>
      </c>
      <c r="H123" t="str">
        <f t="shared" si="15"/>
        <v>head_babutianlong,head_nverguoguowang</v>
      </c>
      <c r="J123">
        <f>IFERROR(VLOOKUP(A123,Sheet2!$A$1:$B$114,2,FALSE),"")</f>
        <v>1214</v>
      </c>
      <c r="K123">
        <f>IFERROR(VLOOKUP(B123,Sheet2!$A$1:$B$114,2,FALSE),"")</f>
        <v>1216</v>
      </c>
      <c r="L123" t="str">
        <f>IFERROR(VLOOKUP(C123,Sheet2!$A$1:$B$114,2,FALSE),"")</f>
        <v/>
      </c>
      <c r="M123" t="str">
        <f>IFERROR(VLOOKUP(D123,Sheet2!$A$1:$B$114,2,FALSE),"")</f>
        <v/>
      </c>
      <c r="N123" t="str">
        <f>IFERROR(VLOOKUP(A123,Sheet2!$A$1:$C$114,3,FALSE),"")</f>
        <v>head_babutianlong</v>
      </c>
      <c r="O123" t="str">
        <f>IFERROR(VLOOKUP(B123,Sheet2!$A$1:$C$114,3,FALSE),"")</f>
        <v>head_nverguoguowang</v>
      </c>
      <c r="P123" t="str">
        <f>IFERROR(VLOOKUP(C123,Sheet2!$A$1:$C$114,3,FALSE),"")</f>
        <v/>
      </c>
      <c r="Q123" t="str">
        <f>IFERROR(VLOOKUP(D123,Sheet2!$A$1:$C$114,3,FALSE),"")</f>
        <v/>
      </c>
    </row>
    <row r="124" spans="1:17" ht="13.5" customHeight="1">
      <c r="A124" s="1" t="str">
        <f>IFERROR(VLOOKUP(A78,中介表!$B$1:$C$20,2,FALSE),"")</f>
        <v>龙帝</v>
      </c>
      <c r="B124" s="1" t="str">
        <f>IFERROR(VLOOKUP(B78,中介表!$B$1:$C$20,2,FALSE),"")</f>
        <v>红孩儿</v>
      </c>
      <c r="C124" s="1" t="str">
        <f>IFERROR(VLOOKUP(C78,中介表!$B$1:$C$20,2,FALSE),"")</f>
        <v/>
      </c>
      <c r="D124" s="1" t="str">
        <f>IFERROR(VLOOKUP(D78,中介表!$B$1:$C$20,2,FALSE),"")</f>
        <v/>
      </c>
      <c r="E124" s="72">
        <f t="shared" si="14"/>
        <v>11241</v>
      </c>
      <c r="F124" s="71" t="s">
        <v>427</v>
      </c>
      <c r="G124" t="str">
        <f t="shared" si="13"/>
        <v>1213,1110</v>
      </c>
      <c r="H124" t="str">
        <f t="shared" si="15"/>
        <v>head_longdi,head_honghaier</v>
      </c>
      <c r="J124">
        <f>IFERROR(VLOOKUP(A124,Sheet2!$A$1:$B$114,2,FALSE),"")</f>
        <v>1213</v>
      </c>
      <c r="K124">
        <f>IFERROR(VLOOKUP(B124,Sheet2!$A$1:$B$114,2,FALSE),"")</f>
        <v>1110</v>
      </c>
      <c r="L124" t="str">
        <f>IFERROR(VLOOKUP(C124,Sheet2!$A$1:$B$114,2,FALSE),"")</f>
        <v/>
      </c>
      <c r="M124" t="str">
        <f>IFERROR(VLOOKUP(D124,Sheet2!$A$1:$B$114,2,FALSE),"")</f>
        <v/>
      </c>
      <c r="N124" t="str">
        <f>IFERROR(VLOOKUP(A124,Sheet2!$A$1:$C$114,3,FALSE),"")</f>
        <v>head_longdi</v>
      </c>
      <c r="O124" t="str">
        <f>IFERROR(VLOOKUP(B124,Sheet2!$A$1:$C$114,3,FALSE),"")</f>
        <v>head_honghaier</v>
      </c>
      <c r="P124" t="str">
        <f>IFERROR(VLOOKUP(C124,Sheet2!$A$1:$C$114,3,FALSE),"")</f>
        <v/>
      </c>
      <c r="Q124" t="str">
        <f>IFERROR(VLOOKUP(D124,Sheet2!$A$1:$C$114,3,FALSE),"")</f>
        <v/>
      </c>
    </row>
    <row r="125" spans="1:17" ht="13.5" customHeight="1">
      <c r="A125" s="1" t="str">
        <f>IFERROR(VLOOKUP(A79,中介表!$B$1:$C$20,2,FALSE),"")</f>
        <v>引魂仙子</v>
      </c>
      <c r="B125" s="1" t="str">
        <f>IFERROR(VLOOKUP(B79,中介表!$B$1:$C$20,2,FALSE),"")</f>
        <v>人参娃</v>
      </c>
      <c r="C125" s="1" t="str">
        <f>IFERROR(VLOOKUP(C79,中介表!$B$1:$C$20,2,FALSE),"")</f>
        <v/>
      </c>
      <c r="D125" s="1" t="str">
        <f>IFERROR(VLOOKUP(D79,中介表!$B$1:$C$20,2,FALSE),"")</f>
        <v/>
      </c>
      <c r="E125" s="72">
        <f t="shared" si="14"/>
        <v>11242</v>
      </c>
      <c r="F125" s="71" t="s">
        <v>428</v>
      </c>
      <c r="G125" t="str">
        <f t="shared" si="13"/>
        <v>1207,1202</v>
      </c>
      <c r="H125" t="str">
        <f t="shared" si="15"/>
        <v>head_yinhunxianzi,head_renshenwa</v>
      </c>
      <c r="J125">
        <f>IFERROR(VLOOKUP(A125,Sheet2!$A$1:$B$114,2,FALSE),"")</f>
        <v>1207</v>
      </c>
      <c r="K125">
        <f>IFERROR(VLOOKUP(B125,Sheet2!$A$1:$B$114,2,FALSE),"")</f>
        <v>1202</v>
      </c>
      <c r="L125" t="str">
        <f>IFERROR(VLOOKUP(C125,Sheet2!$A$1:$B$114,2,FALSE),"")</f>
        <v/>
      </c>
      <c r="M125" t="str">
        <f>IFERROR(VLOOKUP(D125,Sheet2!$A$1:$B$114,2,FALSE),"")</f>
        <v/>
      </c>
      <c r="N125" t="str">
        <f>IFERROR(VLOOKUP(A125,Sheet2!$A$1:$C$114,3,FALSE),"")</f>
        <v>head_yinhunxianzi</v>
      </c>
      <c r="O125" t="str">
        <f>IFERROR(VLOOKUP(B125,Sheet2!$A$1:$C$114,3,FALSE),"")</f>
        <v>head_renshenwa</v>
      </c>
      <c r="P125" t="str">
        <f>IFERROR(VLOOKUP(C125,Sheet2!$A$1:$C$114,3,FALSE),"")</f>
        <v/>
      </c>
      <c r="Q125" t="str">
        <f>IFERROR(VLOOKUP(D125,Sheet2!$A$1:$C$114,3,FALSE),"")</f>
        <v/>
      </c>
    </row>
    <row r="126" spans="1:17" ht="13.5" customHeight="1">
      <c r="A126" s="1" t="str">
        <f>IFERROR(VLOOKUP(A80,中介表!$B$1:$C$20,2,FALSE),"")</f>
        <v>观世音</v>
      </c>
      <c r="B126" s="1" t="str">
        <f>IFERROR(VLOOKUP(B80,中介表!$B$1:$C$20,2,FALSE),"")</f>
        <v>文殊菩萨</v>
      </c>
      <c r="C126" s="1"/>
      <c r="D126" s="1"/>
      <c r="E126" s="72">
        <f t="shared" si="14"/>
        <v>11243</v>
      </c>
      <c r="F126" s="71" t="s">
        <v>832</v>
      </c>
      <c r="G126" t="str">
        <f t="shared" si="13"/>
        <v>1215,1126</v>
      </c>
      <c r="H126" t="str">
        <f t="shared" si="15"/>
        <v>head_guanshiyin,head_wenshupusa</v>
      </c>
      <c r="J126">
        <f>IFERROR(VLOOKUP(A126,Sheet2!$A$1:$B$114,2,FALSE),"")</f>
        <v>1215</v>
      </c>
      <c r="K126">
        <f>IFERROR(VLOOKUP(B126,Sheet2!$A$1:$B$114,2,FALSE),"")</f>
        <v>1126</v>
      </c>
      <c r="L126" t="str">
        <f>IFERROR(VLOOKUP(C126,Sheet2!$A$1:$B$114,2,FALSE),"")</f>
        <v/>
      </c>
      <c r="M126" t="str">
        <f>IFERROR(VLOOKUP(D126,Sheet2!$A$1:$B$114,2,FALSE),"")</f>
        <v/>
      </c>
      <c r="N126" t="str">
        <f>IFERROR(VLOOKUP(A126,Sheet2!$A$1:$C$114,3,FALSE),"")</f>
        <v>head_guanshiyin</v>
      </c>
      <c r="O126" t="str">
        <f>IFERROR(VLOOKUP(B126,Sheet2!$A$1:$C$114,3,FALSE),"")</f>
        <v>head_wenshupusa</v>
      </c>
    </row>
    <row r="127" spans="1:17" ht="13.5" customHeight="1">
      <c r="A127" s="1" t="str">
        <f>IFERROR(VLOOKUP(A81,中介表!$B$1:$C$20,2,FALSE),"")</f>
        <v>地藏王</v>
      </c>
      <c r="B127" s="1" t="str">
        <f>IFERROR(VLOOKUP(B81,中介表!$B$1:$C$20,2,FALSE),"")</f>
        <v>混沌</v>
      </c>
      <c r="C127" s="1" t="str">
        <f>IFERROR(VLOOKUP(C81,中介表!$B$1:$C$20,2,FALSE),"")</f>
        <v>白龙公主</v>
      </c>
      <c r="D127" s="1" t="str">
        <f>IFERROR(VLOOKUP(D81,中介表!$B$1:$C$20,2,FALSE),"")</f>
        <v/>
      </c>
      <c r="E127" s="72">
        <f t="shared" si="14"/>
        <v>11244</v>
      </c>
      <c r="F127" s="71" t="s">
        <v>405</v>
      </c>
      <c r="G127" t="str">
        <f t="shared" si="13"/>
        <v>1130,1118,1136</v>
      </c>
      <c r="H127" t="str">
        <f t="shared" si="15"/>
        <v>head_dizangwang,head_hundun,head_bailonggongzhu</v>
      </c>
      <c r="J127">
        <f>IFERROR(VLOOKUP(A127,Sheet2!$A$1:$B$114,2,FALSE),"")</f>
        <v>1130</v>
      </c>
      <c r="K127">
        <f>IFERROR(VLOOKUP(B127,Sheet2!$A$1:$B$114,2,FALSE),"")</f>
        <v>1118</v>
      </c>
      <c r="L127">
        <f>IFERROR(VLOOKUP(C127,Sheet2!$A$1:$B$114,2,FALSE),"")</f>
        <v>1136</v>
      </c>
      <c r="M127" t="str">
        <f>IFERROR(VLOOKUP(D127,Sheet2!$A$1:$B$114,2,FALSE),"")</f>
        <v/>
      </c>
      <c r="N127" t="str">
        <f>IFERROR(VLOOKUP(A127,Sheet2!$A$1:$C$114,3,FALSE),"")</f>
        <v>head_dizangwang</v>
      </c>
      <c r="O127" t="str">
        <f>IFERROR(VLOOKUP(B127,Sheet2!$A$1:$C$114,3,FALSE),"")</f>
        <v>head_hundun</v>
      </c>
      <c r="P127" t="str">
        <f>IFERROR(VLOOKUP(C127,Sheet2!$A$1:$C$114,3,FALSE),"")</f>
        <v>head_bailonggongzhu</v>
      </c>
      <c r="Q127" t="str">
        <f>IFERROR(VLOOKUP(D127,Sheet2!$A$1:$C$114,3,FALSE),"")</f>
        <v/>
      </c>
    </row>
    <row r="128" spans="1:17" ht="13.5" customHeight="1">
      <c r="A128" s="1" t="str">
        <f>IFERROR(VLOOKUP(A82,中介表!$B$1:$C$20,2,FALSE),"")</f>
        <v>赛太岁</v>
      </c>
      <c r="B128" s="1" t="str">
        <f>IFERROR(VLOOKUP(B82,中介表!$B$1:$C$20,2,FALSE),"")</f>
        <v>琴仙</v>
      </c>
      <c r="C128" s="1" t="str">
        <f>IFERROR(VLOOKUP(C82,中介表!$B$1:$C$20,2,FALSE),"")</f>
        <v>黑熊精</v>
      </c>
      <c r="D128" s="1" t="str">
        <f>IFERROR(VLOOKUP(D82,中介表!$B$1:$C$20,2,FALSE),"")</f>
        <v/>
      </c>
      <c r="E128" s="72">
        <f t="shared" si="14"/>
        <v>11245</v>
      </c>
      <c r="F128" s="71" t="s">
        <v>406</v>
      </c>
      <c r="G128" t="str">
        <f t="shared" si="13"/>
        <v>1128,1192,1152</v>
      </c>
      <c r="H128" t="str">
        <f t="shared" si="15"/>
        <v>head_saitaisui,head_qinxian,head_heixiongjing</v>
      </c>
      <c r="J128">
        <f>IFERROR(VLOOKUP(A128,Sheet2!$A$1:$B$114,2,FALSE),"")</f>
        <v>1128</v>
      </c>
      <c r="K128">
        <f>IFERROR(VLOOKUP(B128,Sheet2!$A$1:$B$114,2,FALSE),"")</f>
        <v>1192</v>
      </c>
      <c r="L128">
        <f>IFERROR(VLOOKUP(C128,Sheet2!$A$1:$B$114,2,FALSE),"")</f>
        <v>1152</v>
      </c>
      <c r="M128" t="str">
        <f>IFERROR(VLOOKUP(D128,Sheet2!$A$1:$B$114,2,FALSE),"")</f>
        <v/>
      </c>
      <c r="N128" t="str">
        <f>IFERROR(VLOOKUP(A128,Sheet2!$A$1:$C$114,3,FALSE),"")</f>
        <v>head_saitaisui</v>
      </c>
      <c r="O128" t="str">
        <f>IFERROR(VLOOKUP(B128,Sheet2!$A$1:$C$114,3,FALSE),"")</f>
        <v>head_qinxian</v>
      </c>
      <c r="P128" t="str">
        <f>IFERROR(VLOOKUP(C128,Sheet2!$A$1:$C$114,3,FALSE),"")</f>
        <v>head_heixiongjing</v>
      </c>
      <c r="Q128" t="str">
        <f>IFERROR(VLOOKUP(D128,Sheet2!$A$1:$C$114,3,FALSE),"")</f>
        <v/>
      </c>
    </row>
    <row r="129" spans="1:17" ht="13.5" customHeight="1">
      <c r="A129" s="1" t="str">
        <f>IFERROR(VLOOKUP(A83,中介表!$B$1:$C$20,2,FALSE),"")</f>
        <v>白龙公主</v>
      </c>
      <c r="B129" s="1" t="str">
        <f>IFERROR(VLOOKUP(B83,中介表!$B$1:$C$20,2,FALSE),"")</f>
        <v>赛太岁</v>
      </c>
      <c r="C129" s="1" t="str">
        <f>IFERROR(VLOOKUP(C83,中介表!$B$1:$C$20,2,FALSE),"")</f>
        <v>琴仙</v>
      </c>
      <c r="D129" s="1" t="str">
        <f>IFERROR(VLOOKUP(D83,中介表!$B$1:$C$20,2,FALSE),"")</f>
        <v/>
      </c>
      <c r="E129" s="72">
        <f t="shared" si="14"/>
        <v>11246</v>
      </c>
      <c r="F129" s="71" t="s">
        <v>429</v>
      </c>
      <c r="G129" t="str">
        <f t="shared" si="13"/>
        <v>1136,1128,1192</v>
      </c>
      <c r="H129" t="str">
        <f t="shared" si="15"/>
        <v>head_bailonggongzhu,head_saitaisui,head_qinxian</v>
      </c>
      <c r="J129">
        <f>IFERROR(VLOOKUP(A129,Sheet2!$A$1:$B$114,2,FALSE),"")</f>
        <v>1136</v>
      </c>
      <c r="K129">
        <f>IFERROR(VLOOKUP(B129,Sheet2!$A$1:$B$114,2,FALSE),"")</f>
        <v>1128</v>
      </c>
      <c r="L129">
        <f>IFERROR(VLOOKUP(C129,Sheet2!$A$1:$B$114,2,FALSE),"")</f>
        <v>1192</v>
      </c>
      <c r="M129" t="str">
        <f>IFERROR(VLOOKUP(D129,Sheet2!$A$1:$B$114,2,FALSE),"")</f>
        <v/>
      </c>
      <c r="N129" t="str">
        <f>IFERROR(VLOOKUP(A129,Sheet2!$A$1:$C$114,3,FALSE),"")</f>
        <v>head_bailonggongzhu</v>
      </c>
      <c r="O129" t="str">
        <f>IFERROR(VLOOKUP(B129,Sheet2!$A$1:$C$114,3,FALSE),"")</f>
        <v>head_saitaisui</v>
      </c>
      <c r="P129" t="str">
        <f>IFERROR(VLOOKUP(C129,Sheet2!$A$1:$C$114,3,FALSE),"")</f>
        <v>head_qinxian</v>
      </c>
      <c r="Q129" t="str">
        <f>IFERROR(VLOOKUP(D129,Sheet2!$A$1:$C$114,3,FALSE),"")</f>
        <v/>
      </c>
    </row>
    <row r="130" spans="1:17" ht="13.5" customHeight="1">
      <c r="A130" s="1" t="str">
        <f>IFERROR(VLOOKUP(A84,中介表!$B$1:$C$20,2,FALSE),"")</f>
        <v>黑熊精</v>
      </c>
      <c r="B130" s="1" t="str">
        <f>IFERROR(VLOOKUP(B84,中介表!$B$1:$C$20,2,FALSE),"")</f>
        <v>地藏王</v>
      </c>
      <c r="C130" s="1" t="str">
        <f>IFERROR(VLOOKUP(C84,中介表!$B$1:$C$20,2,FALSE),"")</f>
        <v>混沌</v>
      </c>
      <c r="D130" s="1" t="str">
        <f>IFERROR(VLOOKUP(D84,中介表!$B$1:$C$20,2,FALSE),"")</f>
        <v/>
      </c>
      <c r="E130" s="72">
        <f t="shared" si="14"/>
        <v>11247</v>
      </c>
      <c r="F130" s="71" t="s">
        <v>430</v>
      </c>
      <c r="G130" t="str">
        <f t="shared" si="13"/>
        <v>1152,1130,1118</v>
      </c>
      <c r="H130" t="str">
        <f t="shared" si="15"/>
        <v>head_heixiongjing,head_dizangwang,head_hundun</v>
      </c>
      <c r="J130">
        <f>IFERROR(VLOOKUP(A130,Sheet2!$A$1:$B$114,2,FALSE),"")</f>
        <v>1152</v>
      </c>
      <c r="K130">
        <f>IFERROR(VLOOKUP(B130,Sheet2!$A$1:$B$114,2,FALSE),"")</f>
        <v>1130</v>
      </c>
      <c r="L130">
        <f>IFERROR(VLOOKUP(C130,Sheet2!$A$1:$B$114,2,FALSE),"")</f>
        <v>1118</v>
      </c>
      <c r="M130" t="str">
        <f>IFERROR(VLOOKUP(D130,Sheet2!$A$1:$B$114,2,FALSE),"")</f>
        <v/>
      </c>
      <c r="N130" t="str">
        <f>IFERROR(VLOOKUP(A130,Sheet2!$A$1:$C$114,3,FALSE),"")</f>
        <v>head_heixiongjing</v>
      </c>
      <c r="O130" t="str">
        <f>IFERROR(VLOOKUP(B130,Sheet2!$A$1:$C$114,3,FALSE),"")</f>
        <v>head_dizangwang</v>
      </c>
      <c r="P130" t="str">
        <f>IFERROR(VLOOKUP(C130,Sheet2!$A$1:$C$114,3,FALSE),"")</f>
        <v>head_hundun</v>
      </c>
      <c r="Q130" t="str">
        <f>IFERROR(VLOOKUP(D130,Sheet2!$A$1:$C$114,3,FALSE),"")</f>
        <v/>
      </c>
    </row>
    <row r="131" spans="1:17" ht="13.5" customHeight="1">
      <c r="A131" s="1" t="str">
        <f>IFERROR(VLOOKUP(A85,中介表!$B$1:$C$20,2,FALSE),"")</f>
        <v>黑熊精</v>
      </c>
      <c r="B131" s="1" t="str">
        <f>IFERROR(VLOOKUP(B85,中介表!$B$1:$C$20,2,FALSE),"")</f>
        <v>地藏王</v>
      </c>
      <c r="C131" s="1" t="str">
        <f>IFERROR(VLOOKUP(C85,中介表!$B$1:$C$20,2,FALSE),"")</f>
        <v/>
      </c>
      <c r="D131" s="1" t="str">
        <f>IFERROR(VLOOKUP(D85,中介表!$B$1:$C$20,2,FALSE),"")</f>
        <v/>
      </c>
      <c r="E131" s="72">
        <f t="shared" si="14"/>
        <v>11248</v>
      </c>
      <c r="F131" s="71" t="s">
        <v>431</v>
      </c>
      <c r="G131" t="str">
        <f t="shared" si="13"/>
        <v>1152,1130</v>
      </c>
      <c r="H131" t="str">
        <f t="shared" si="15"/>
        <v>head_heixiongjing,head_dizangwang</v>
      </c>
      <c r="J131">
        <f>IFERROR(VLOOKUP(A131,Sheet2!$A$1:$B$114,2,FALSE),"")</f>
        <v>1152</v>
      </c>
      <c r="K131">
        <f>IFERROR(VLOOKUP(B131,Sheet2!$A$1:$B$114,2,FALSE),"")</f>
        <v>1130</v>
      </c>
      <c r="L131" t="str">
        <f>IFERROR(VLOOKUP(C131,Sheet2!$A$1:$B$114,2,FALSE),"")</f>
        <v/>
      </c>
      <c r="M131" t="str">
        <f>IFERROR(VLOOKUP(D131,Sheet2!$A$1:$B$114,2,FALSE),"")</f>
        <v/>
      </c>
      <c r="N131" t="str">
        <f>IFERROR(VLOOKUP(A131,Sheet2!$A$1:$C$114,3,FALSE),"")</f>
        <v>head_heixiongjing</v>
      </c>
      <c r="O131" t="str">
        <f>IFERROR(VLOOKUP(B131,Sheet2!$A$1:$C$114,3,FALSE),"")</f>
        <v>head_dizangwang</v>
      </c>
      <c r="P131" t="str">
        <f>IFERROR(VLOOKUP(C131,Sheet2!$A$1:$C$114,3,FALSE),"")</f>
        <v/>
      </c>
      <c r="Q131" t="str">
        <f>IFERROR(VLOOKUP(D131,Sheet2!$A$1:$C$114,3,FALSE),"")</f>
        <v/>
      </c>
    </row>
    <row r="132" spans="1:17" ht="13.5" customHeight="1">
      <c r="A132" s="1" t="str">
        <f>IFERROR(VLOOKUP(A86,中介表!$B$1:$C$20,2,FALSE),"")</f>
        <v>赛太岁</v>
      </c>
      <c r="B132" s="1" t="str">
        <f>IFERROR(VLOOKUP(B86,中介表!$B$1:$C$20,2,FALSE),"")</f>
        <v>混沌</v>
      </c>
      <c r="C132" s="1" t="str">
        <f>IFERROR(VLOOKUP(C86,中介表!$B$1:$C$20,2,FALSE),"")</f>
        <v/>
      </c>
      <c r="D132" s="1" t="str">
        <f>IFERROR(VLOOKUP(D86,中介表!$B$1:$C$20,2,FALSE),"")</f>
        <v/>
      </c>
      <c r="E132" s="72">
        <f t="shared" si="14"/>
        <v>11249</v>
      </c>
      <c r="F132" s="71" t="s">
        <v>432</v>
      </c>
      <c r="G132" t="str">
        <f t="shared" si="13"/>
        <v>1128,1118</v>
      </c>
      <c r="H132" t="str">
        <f t="shared" si="15"/>
        <v>head_saitaisui,head_hundun</v>
      </c>
      <c r="J132">
        <f>IFERROR(VLOOKUP(A132,Sheet2!$A$1:$B$114,2,FALSE),"")</f>
        <v>1128</v>
      </c>
      <c r="K132">
        <f>IFERROR(VLOOKUP(B132,Sheet2!$A$1:$B$114,2,FALSE),"")</f>
        <v>1118</v>
      </c>
      <c r="L132" t="str">
        <f>IFERROR(VLOOKUP(C132,Sheet2!$A$1:$B$114,2,FALSE),"")</f>
        <v/>
      </c>
      <c r="M132" t="str">
        <f>IFERROR(VLOOKUP(D132,Sheet2!$A$1:$B$114,2,FALSE),"")</f>
        <v/>
      </c>
      <c r="N132" t="str">
        <f>IFERROR(VLOOKUP(A132,Sheet2!$A$1:$C$114,3,FALSE),"")</f>
        <v>head_saitaisui</v>
      </c>
      <c r="O132" t="str">
        <f>IFERROR(VLOOKUP(B132,Sheet2!$A$1:$C$114,3,FALSE),"")</f>
        <v>head_hundun</v>
      </c>
      <c r="P132" t="str">
        <f>IFERROR(VLOOKUP(C132,Sheet2!$A$1:$C$114,3,FALSE),"")</f>
        <v/>
      </c>
      <c r="Q132" t="str">
        <f>IFERROR(VLOOKUP(D132,Sheet2!$A$1:$C$114,3,FALSE),"")</f>
        <v/>
      </c>
    </row>
    <row r="133" spans="1:17" ht="13.5" customHeight="1">
      <c r="A133" s="1" t="str">
        <f>IFERROR(VLOOKUP(A87,中介表!$B$1:$C$20,2,FALSE),"")</f>
        <v>混沌</v>
      </c>
      <c r="B133" s="1" t="str">
        <f>IFERROR(VLOOKUP(B87,中介表!$B$1:$C$20,2,FALSE),"")</f>
        <v>黑熊精</v>
      </c>
      <c r="C133" s="1" t="str">
        <f>IFERROR(VLOOKUP(C87,中介表!$B$1:$C$20,2,FALSE),"")</f>
        <v/>
      </c>
      <c r="D133" s="1" t="str">
        <f>IFERROR(VLOOKUP(D87,中介表!$B$1:$C$20,2,FALSE),"")</f>
        <v/>
      </c>
      <c r="E133" s="72">
        <f t="shared" si="14"/>
        <v>11250</v>
      </c>
      <c r="F133" s="71" t="s">
        <v>433</v>
      </c>
      <c r="G133" t="str">
        <f t="shared" si="13"/>
        <v>1118,1152</v>
      </c>
      <c r="H133" t="str">
        <f t="shared" si="15"/>
        <v>head_hundun,head_heixiongjing</v>
      </c>
      <c r="J133">
        <f>IFERROR(VLOOKUP(A133,Sheet2!$A$1:$B$114,2,FALSE),"")</f>
        <v>1118</v>
      </c>
      <c r="K133">
        <f>IFERROR(VLOOKUP(B133,Sheet2!$A$1:$B$114,2,FALSE),"")</f>
        <v>1152</v>
      </c>
      <c r="L133" t="str">
        <f>IFERROR(VLOOKUP(C133,Sheet2!$A$1:$B$114,2,FALSE),"")</f>
        <v/>
      </c>
      <c r="M133" t="str">
        <f>IFERROR(VLOOKUP(D133,Sheet2!$A$1:$B$114,2,FALSE),"")</f>
        <v/>
      </c>
      <c r="N133" t="str">
        <f>IFERROR(VLOOKUP(A133,Sheet2!$A$1:$C$114,3,FALSE),"")</f>
        <v>head_hundun</v>
      </c>
      <c r="O133" t="str">
        <f>IFERROR(VLOOKUP(B133,Sheet2!$A$1:$C$114,3,FALSE),"")</f>
        <v>head_heixiongjing</v>
      </c>
      <c r="P133" t="str">
        <f>IFERROR(VLOOKUP(C133,Sheet2!$A$1:$C$114,3,FALSE),"")</f>
        <v/>
      </c>
      <c r="Q133" t="str">
        <f>IFERROR(VLOOKUP(D133,Sheet2!$A$1:$C$114,3,FALSE),"")</f>
        <v/>
      </c>
    </row>
    <row r="134" spans="1:17" ht="13.5" customHeight="1">
      <c r="A134" s="1" t="str">
        <f>IFERROR(VLOOKUP(A88,中介表!$B$1:$C$20,2,FALSE),"")</f>
        <v>白龙公主</v>
      </c>
      <c r="B134" s="1" t="str">
        <f>IFERROR(VLOOKUP(B88,中介表!$B$1:$C$20,2,FALSE),"")</f>
        <v>琴仙</v>
      </c>
      <c r="C134" s="1" t="str">
        <f>IFERROR(VLOOKUP(C88,中介表!$B$1:$C$20,2,FALSE),"")</f>
        <v/>
      </c>
      <c r="D134" s="1" t="str">
        <f>IFERROR(VLOOKUP(D88,中介表!$B$1:$C$20,2,FALSE),"")</f>
        <v/>
      </c>
      <c r="E134" s="72">
        <f t="shared" si="14"/>
        <v>11251</v>
      </c>
      <c r="F134" s="71" t="s">
        <v>434</v>
      </c>
      <c r="G134" t="str">
        <f t="shared" si="13"/>
        <v>1136,1192</v>
      </c>
      <c r="H134" t="str">
        <f t="shared" si="15"/>
        <v>head_bailonggongzhu,head_qinxian</v>
      </c>
      <c r="J134">
        <f>IFERROR(VLOOKUP(A134,Sheet2!$A$1:$B$114,2,FALSE),"")</f>
        <v>1136</v>
      </c>
      <c r="K134">
        <f>IFERROR(VLOOKUP(B134,Sheet2!$A$1:$B$114,2,FALSE),"")</f>
        <v>1192</v>
      </c>
      <c r="L134" t="str">
        <f>IFERROR(VLOOKUP(C134,Sheet2!$A$1:$B$114,2,FALSE),"")</f>
        <v/>
      </c>
      <c r="M134" t="str">
        <f>IFERROR(VLOOKUP(D134,Sheet2!$A$1:$B$114,2,FALSE),"")</f>
        <v/>
      </c>
      <c r="N134" t="str">
        <f>IFERROR(VLOOKUP(A134,Sheet2!$A$1:$C$114,3,FALSE),"")</f>
        <v>head_bailonggongzhu</v>
      </c>
      <c r="O134" t="str">
        <f>IFERROR(VLOOKUP(B134,Sheet2!$A$1:$C$114,3,FALSE),"")</f>
        <v>head_qinxian</v>
      </c>
      <c r="P134" t="str">
        <f>IFERROR(VLOOKUP(C134,Sheet2!$A$1:$C$114,3,FALSE),"")</f>
        <v/>
      </c>
      <c r="Q134" t="str">
        <f>IFERROR(VLOOKUP(D134,Sheet2!$A$1:$C$114,3,FALSE),"")</f>
        <v/>
      </c>
    </row>
    <row r="135" spans="1:17" ht="13.5" customHeight="1">
      <c r="A135" s="1" t="str">
        <f>IFERROR(VLOOKUP(A89,中介表!$B$1:$C$20,2,FALSE),"")</f>
        <v>地藏王</v>
      </c>
      <c r="B135" s="1" t="str">
        <f>IFERROR(VLOOKUP(B89,中介表!$B$1:$C$20,2,FALSE),"")</f>
        <v>白龙公主</v>
      </c>
      <c r="C135" s="1" t="str">
        <f>IFERROR(VLOOKUP(C89,中介表!$B$1:$C$20,2,FALSE),"")</f>
        <v/>
      </c>
      <c r="D135" s="1" t="str">
        <f>IFERROR(VLOOKUP(D89,中介表!$B$1:$C$20,2,FALSE),"")</f>
        <v/>
      </c>
      <c r="E135" s="72">
        <f t="shared" si="14"/>
        <v>11252</v>
      </c>
      <c r="F135" s="71" t="s">
        <v>435</v>
      </c>
      <c r="G135" t="str">
        <f t="shared" si="13"/>
        <v>1130,1136</v>
      </c>
      <c r="H135" t="str">
        <f t="shared" si="15"/>
        <v>head_dizangwang,head_bailonggongzhu</v>
      </c>
      <c r="J135">
        <f>IFERROR(VLOOKUP(A135,Sheet2!$A$1:$B$114,2,FALSE),"")</f>
        <v>1130</v>
      </c>
      <c r="K135">
        <f>IFERROR(VLOOKUP(B135,Sheet2!$A$1:$B$114,2,FALSE),"")</f>
        <v>1136</v>
      </c>
      <c r="L135" t="str">
        <f>IFERROR(VLOOKUP(C135,Sheet2!$A$1:$B$114,2,FALSE),"")</f>
        <v/>
      </c>
      <c r="M135" t="str">
        <f>IFERROR(VLOOKUP(D135,Sheet2!$A$1:$B$114,2,FALSE),"")</f>
        <v/>
      </c>
      <c r="N135" t="str">
        <f>IFERROR(VLOOKUP(A135,Sheet2!$A$1:$C$114,3,FALSE),"")</f>
        <v>head_dizangwang</v>
      </c>
      <c r="O135" t="str">
        <f>IFERROR(VLOOKUP(B135,Sheet2!$A$1:$C$114,3,FALSE),"")</f>
        <v>head_bailonggongzhu</v>
      </c>
      <c r="P135" t="str">
        <f>IFERROR(VLOOKUP(C135,Sheet2!$A$1:$C$114,3,FALSE),"")</f>
        <v/>
      </c>
      <c r="Q135" t="str">
        <f>IFERROR(VLOOKUP(D135,Sheet2!$A$1:$C$114,3,FALSE),"")</f>
        <v/>
      </c>
    </row>
    <row r="136" spans="1:17" ht="13.5" customHeight="1">
      <c r="A136" s="1" t="str">
        <f>IFERROR(VLOOKUP(A90,中介表!$B$1:$C$20,2,FALSE),"")</f>
        <v>琴仙</v>
      </c>
      <c r="B136" s="1" t="str">
        <f>IFERROR(VLOOKUP(B90,中介表!$B$1:$C$20,2,FALSE),"")</f>
        <v>赛太岁</v>
      </c>
      <c r="C136" s="1" t="str">
        <f>IFERROR(VLOOKUP(C90,中介表!$B$1:$C$20,2,FALSE),"")</f>
        <v/>
      </c>
      <c r="D136" s="1" t="str">
        <f>IFERROR(VLOOKUP(D90,中介表!$B$1:$C$20,2,FALSE),"")</f>
        <v/>
      </c>
      <c r="E136" s="72">
        <f t="shared" si="14"/>
        <v>11253</v>
      </c>
      <c r="F136" s="71" t="s">
        <v>436</v>
      </c>
      <c r="G136" t="str">
        <f t="shared" si="13"/>
        <v>1192,1128</v>
      </c>
      <c r="H136" t="str">
        <f t="shared" si="15"/>
        <v>head_qinxian,head_saitaisui</v>
      </c>
      <c r="J136">
        <f>IFERROR(VLOOKUP(A136,Sheet2!$A$1:$B$114,2,FALSE),"")</f>
        <v>1192</v>
      </c>
      <c r="K136">
        <f>IFERROR(VLOOKUP(B136,Sheet2!$A$1:$B$114,2,FALSE),"")</f>
        <v>1128</v>
      </c>
      <c r="L136" t="str">
        <f>IFERROR(VLOOKUP(C136,Sheet2!$A$1:$B$114,2,FALSE),"")</f>
        <v/>
      </c>
      <c r="M136" t="str">
        <f>IFERROR(VLOOKUP(D136,Sheet2!$A$1:$B$114,2,FALSE),"")</f>
        <v/>
      </c>
      <c r="N136" t="str">
        <f>IFERROR(VLOOKUP(A136,Sheet2!$A$1:$C$114,3,FALSE),"")</f>
        <v>head_qinxian</v>
      </c>
      <c r="O136" t="str">
        <f>IFERROR(VLOOKUP(B136,Sheet2!$A$1:$C$114,3,FALSE),"")</f>
        <v>head_saitaisui</v>
      </c>
      <c r="P136" t="str">
        <f>IFERROR(VLOOKUP(C136,Sheet2!$A$1:$C$114,3,FALSE),"")</f>
        <v/>
      </c>
      <c r="Q136" t="str">
        <f>IFERROR(VLOOKUP(D136,Sheet2!$A$1:$C$114,3,FALSE),"")</f>
        <v/>
      </c>
    </row>
    <row r="137" spans="1:17" ht="13.5" customHeight="1">
      <c r="A137" s="1"/>
      <c r="B137" s="1"/>
      <c r="C137" s="1"/>
      <c r="D137" s="1"/>
      <c r="E137" s="73"/>
      <c r="F137" s="71"/>
    </row>
    <row r="138" spans="1:17">
      <c r="A138" s="1"/>
      <c r="B138" s="1"/>
      <c r="C138" s="1"/>
      <c r="D138" s="1"/>
      <c r="E138" s="66"/>
    </row>
  </sheetData>
  <phoneticPr fontId="2" type="noConversion"/>
  <conditionalFormatting sqref="B47 B1 B2:D6 B93 A7:D45 F48:F91 F2:F45 F94:F137 A2:A9 AB1 AB2:AD6 AA7:AD34 AA3:AA6 AA35:AC44 AA2:AB2">
    <cfRule type="expression" dxfId="62" priority="189">
      <formula>INDEX($D:$D,MATCH(A1,$A:$A,0))=11</formula>
    </cfRule>
    <cfRule type="expression" dxfId="61" priority="190">
      <formula>INDEX($D:$D,MATCH(A1,$A:$A,0))=13</formula>
    </cfRule>
    <cfRule type="expression" dxfId="60" priority="191">
      <formula>INDEX($D:$D,MATCH(A1,$A:$A,0))=16</formula>
    </cfRule>
    <cfRule type="expression" dxfId="59" priority="192">
      <formula>INDEX($D:$D,MATCH(A1,$A:$A,0))=20</formula>
    </cfRule>
  </conditionalFormatting>
  <conditionalFormatting sqref="A7:D30 F2:F11 A31:B31 D31 B2:D6 A32:D45 A3:A9">
    <cfRule type="cellIs" dxfId="58" priority="390" operator="equal">
      <formula>#REF!</formula>
    </cfRule>
  </conditionalFormatting>
  <conditionalFormatting sqref="F35:F36">
    <cfRule type="cellIs" dxfId="57" priority="188" operator="equal">
      <formula>#REF!</formula>
    </cfRule>
  </conditionalFormatting>
  <conditionalFormatting sqref="F12:F34">
    <cfRule type="cellIs" dxfId="56" priority="183" operator="equal">
      <formula>#REF!</formula>
    </cfRule>
  </conditionalFormatting>
  <conditionalFormatting sqref="F37:F45">
    <cfRule type="cellIs" dxfId="55" priority="178" operator="equal">
      <formula>#REF!</formula>
    </cfRule>
  </conditionalFormatting>
  <conditionalFormatting sqref="A7:D30 A31:B31 D31 B2:D6 A32:D45 A3:A9">
    <cfRule type="cellIs" dxfId="54" priority="169" operator="equal">
      <formula>$C$1</formula>
    </cfRule>
  </conditionalFormatting>
  <conditionalFormatting sqref="F48:F49">
    <cfRule type="cellIs" dxfId="53" priority="160" operator="equal">
      <formula>#REF!</formula>
    </cfRule>
  </conditionalFormatting>
  <conditionalFormatting sqref="F50:F57">
    <cfRule type="cellIs" dxfId="52" priority="155" operator="equal">
      <formula>#REF!</formula>
    </cfRule>
  </conditionalFormatting>
  <conditionalFormatting sqref="F81:F82">
    <cfRule type="cellIs" dxfId="51" priority="150" operator="equal">
      <formula>#REF!</formula>
    </cfRule>
  </conditionalFormatting>
  <conditionalFormatting sqref="F58:F80">
    <cfRule type="cellIs" dxfId="50" priority="145" operator="equal">
      <formula>#REF!</formula>
    </cfRule>
  </conditionalFormatting>
  <conditionalFormatting sqref="F83:F91">
    <cfRule type="cellIs" dxfId="49" priority="140" operator="equal">
      <formula>#REF!</formula>
    </cfRule>
  </conditionalFormatting>
  <conditionalFormatting sqref="F94:F95">
    <cfRule type="cellIs" dxfId="48" priority="131" operator="equal">
      <formula>#REF!</formula>
    </cfRule>
  </conditionalFormatting>
  <conditionalFormatting sqref="F96:F103">
    <cfRule type="cellIs" dxfId="47" priority="126" operator="equal">
      <formula>#REF!</formula>
    </cfRule>
  </conditionalFormatting>
  <conditionalFormatting sqref="F127:F128">
    <cfRule type="cellIs" dxfId="46" priority="121" operator="equal">
      <formula>#REF!</formula>
    </cfRule>
  </conditionalFormatting>
  <conditionalFormatting sqref="F104:F126">
    <cfRule type="cellIs" dxfId="45" priority="116" operator="equal">
      <formula>#REF!</formula>
    </cfRule>
  </conditionalFormatting>
  <conditionalFormatting sqref="F129:F137">
    <cfRule type="cellIs" dxfId="44" priority="111" operator="equal">
      <formula>#REF!</formula>
    </cfRule>
  </conditionalFormatting>
  <conditionalFormatting sqref="A94:D137">
    <cfRule type="cellIs" dxfId="43" priority="103" operator="equal">
      <formula>$C$93</formula>
    </cfRule>
  </conditionalFormatting>
  <conditionalFormatting sqref="A48:D91">
    <cfRule type="cellIs" dxfId="42" priority="98" operator="equal">
      <formula>$C$47</formula>
    </cfRule>
  </conditionalFormatting>
  <conditionalFormatting sqref="A2:D45">
    <cfRule type="cellIs" dxfId="41" priority="93" operator="equal">
      <formula>$C$93</formula>
    </cfRule>
  </conditionalFormatting>
  <conditionalFormatting sqref="C31">
    <cfRule type="cellIs" dxfId="40" priority="86" operator="equal">
      <formula>$C$1</formula>
    </cfRule>
  </conditionalFormatting>
  <conditionalFormatting sqref="C31">
    <cfRule type="cellIs" dxfId="39" priority="91" operator="equal">
      <formula>#REF!</formula>
    </cfRule>
  </conditionalFormatting>
  <conditionalFormatting sqref="A6">
    <cfRule type="cellIs" dxfId="38" priority="85" operator="equal">
      <formula>#REF!</formula>
    </cfRule>
  </conditionalFormatting>
  <conditionalFormatting sqref="A6">
    <cfRule type="cellIs" dxfId="37" priority="80" operator="equal">
      <formula>$C$1</formula>
    </cfRule>
  </conditionalFormatting>
  <conditionalFormatting sqref="A2">
    <cfRule type="cellIs" dxfId="36" priority="79" operator="equal">
      <formula>#REF!</formula>
    </cfRule>
  </conditionalFormatting>
  <conditionalFormatting sqref="A2">
    <cfRule type="cellIs" dxfId="35" priority="74" operator="equal">
      <formula>$C$1</formula>
    </cfRule>
  </conditionalFormatting>
  <conditionalFormatting sqref="AA7:AD30 AA31:AB31 AD31 AB2:AD6 AA32:AD34 AA3:AA6">
    <cfRule type="cellIs" dxfId="34" priority="48" operator="equal">
      <formula>#REF!</formula>
    </cfRule>
  </conditionalFormatting>
  <conditionalFormatting sqref="AA7:AD30 AA31:AB31 AD31 AB2:AD6 AA32:AD34 AA3:AA6">
    <cfRule type="cellIs" dxfId="33" priority="43" operator="equal">
      <formula>$C$1</formula>
    </cfRule>
  </conditionalFormatting>
  <conditionalFormatting sqref="AA2:AD34">
    <cfRule type="cellIs" dxfId="32" priority="39" operator="equal">
      <formula>$C$93</formula>
    </cfRule>
  </conditionalFormatting>
  <conditionalFormatting sqref="AC31">
    <cfRule type="cellIs" dxfId="31" priority="36" operator="equal">
      <formula>$C$1</formula>
    </cfRule>
  </conditionalFormatting>
  <conditionalFormatting sqref="AC31">
    <cfRule type="cellIs" dxfId="30" priority="37" operator="equal">
      <formula>#REF!</formula>
    </cfRule>
  </conditionalFormatting>
  <conditionalFormatting sqref="AA6">
    <cfRule type="cellIs" dxfId="29" priority="35" operator="equal">
      <formula>#REF!</formula>
    </cfRule>
  </conditionalFormatting>
  <conditionalFormatting sqref="AA6">
    <cfRule type="cellIs" dxfId="28" priority="30" operator="equal">
      <formula>$C$1</formula>
    </cfRule>
  </conditionalFormatting>
  <conditionalFormatting sqref="AA2">
    <cfRule type="cellIs" dxfId="27" priority="29" operator="equal">
      <formula>#REF!</formula>
    </cfRule>
  </conditionalFormatting>
  <conditionalFormatting sqref="AA2">
    <cfRule type="cellIs" dxfId="26" priority="24" operator="equal">
      <formula>$C$1</formula>
    </cfRule>
  </conditionalFormatting>
  <conditionalFormatting sqref="AA35:AC44">
    <cfRule type="cellIs" dxfId="25" priority="23" operator="equal">
      <formula>#REF!</formula>
    </cfRule>
  </conditionalFormatting>
  <conditionalFormatting sqref="AA35:AC44">
    <cfRule type="cellIs" dxfId="24" priority="18" operator="equal">
      <formula>$C$1</formula>
    </cfRule>
  </conditionalFormatting>
  <conditionalFormatting sqref="AA35:AC44">
    <cfRule type="cellIs" dxfId="23" priority="14" operator="equal">
      <formula>$C$93</formula>
    </cfRule>
  </conditionalFormatting>
  <conditionalFormatting sqref="AB2">
    <cfRule type="cellIs" dxfId="22" priority="12" operator="equal">
      <formula>#REF!</formula>
    </cfRule>
  </conditionalFormatting>
  <conditionalFormatting sqref="AB2">
    <cfRule type="cellIs" dxfId="21" priority="7" operator="equal">
      <formula>$C$1</formula>
    </cfRule>
  </conditionalFormatting>
  <conditionalFormatting sqref="AB2">
    <cfRule type="cellIs" dxfId="20" priority="6" operator="equal">
      <formula>#REF!</formula>
    </cfRule>
  </conditionalFormatting>
  <conditionalFormatting sqref="AB2">
    <cfRule type="cellIs" dxfId="19" priority="1" operator="equal">
      <formula>$C$1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2" id="{CE2205B7-BF02-4EE6-B654-32EBA86707B5}">
            <xm:f>INDEX(英雄羁绊!$D:$D,MATCH(A35,英雄羁绊!$A:$A,0))=20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A81:D91 A94:D126</xm:sqref>
        </x14:conditionalFormatting>
        <x14:conditionalFormatting xmlns:xm="http://schemas.microsoft.com/office/excel/2006/main">
          <x14:cfRule type="expression" priority="162" id="{0335DE5E-7455-46D8-BBB3-89D82591A204}">
            <xm:f>INDEX(英雄羁绊!$D:$D,MATCH(A2,英雄羁绊!$A:$A,0))=16</xm:f>
            <x14:dxf>
              <fill>
                <patternFill>
                  <bgColor rgb="FFFFC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63" id="{3034A299-BE07-495B-BE4A-65B8AA2DE29E}">
            <xm:f>INDEX(英雄羁绊!$D:$D,MATCH(A2,英雄羁绊!$A:$A,0))=13</xm:f>
            <x14:dxf>
              <fill>
                <patternFill>
                  <bgColor theme="9" tint="0.3999450666829432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64" id="{2A2439E9-AD6A-40B7-8722-7D83A0E7418B}">
            <xm:f>INDEX(英雄羁绊!$D:$D,MATCH(A2,英雄羁绊!$A:$A,0))=11</xm:f>
            <x14:dxf>
              <fill>
                <patternFill>
                  <bgColor rgb="FF7030A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A48:D91 A94:D137 A2:D45</xm:sqref>
        </x14:conditionalFormatting>
        <x14:conditionalFormatting xmlns:xm="http://schemas.microsoft.com/office/excel/2006/main">
          <x14:cfRule type="expression" priority="92" id="{652D0A03-53CA-458C-9BBD-2181512F272E}">
            <xm:f>INDEX(英雄羁绊!$D:$D,MATCH(A2,英雄羁绊!$A:$A,0))=20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A2:D45</xm:sqref>
        </x14:conditionalFormatting>
        <x14:conditionalFormatting xmlns:xm="http://schemas.microsoft.com/office/excel/2006/main">
          <x14:cfRule type="expression" priority="427" id="{CE2205B7-BF02-4EE6-B654-32EBA86707B5}">
            <xm:f>INDEX(英雄羁绊!$D:$D,MATCH(A2,英雄羁绊!$A:$A,0))=20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A48:D80 A81:B81</xm:sqref>
        </x14:conditionalFormatting>
        <x14:conditionalFormatting xmlns:xm="http://schemas.microsoft.com/office/excel/2006/main">
          <x14:cfRule type="expression" priority="461" id="{CE2205B7-BF02-4EE6-B654-32EBA86707B5}">
            <xm:f>INDEX(英雄羁绊!$D:$D,MATCH(A81,英雄羁绊!$A:$A,0))=20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A127:D137</xm:sqref>
        </x14:conditionalFormatting>
        <x14:conditionalFormatting xmlns:xm="http://schemas.microsoft.com/office/excel/2006/main">
          <x14:cfRule type="expression" priority="40" id="{EDD1D6C1-6480-4D20-A66F-642811B1C397}">
            <xm:f>INDEX(英雄羁绊!$D:$D,MATCH(AA2,英雄羁绊!$A:$A,0))=16</xm:f>
            <x14:dxf>
              <fill>
                <patternFill>
                  <bgColor rgb="FFFFC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41" id="{4437AA5C-42BA-4B3B-AE70-08D0B6AA2D8A}">
            <xm:f>INDEX(英雄羁绊!$D:$D,MATCH(AA2,英雄羁绊!$A:$A,0))=13</xm:f>
            <x14:dxf>
              <fill>
                <patternFill>
                  <bgColor theme="9" tint="0.3999450666829432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42" id="{93C82E6D-0326-43D2-9C99-FC57D540CA8E}">
            <xm:f>INDEX(英雄羁绊!$D:$D,MATCH(AA2,英雄羁绊!$A:$A,0))=11</xm:f>
            <x14:dxf>
              <fill>
                <patternFill>
                  <bgColor rgb="FF7030A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AA2:AD34</xm:sqref>
        </x14:conditionalFormatting>
        <x14:conditionalFormatting xmlns:xm="http://schemas.microsoft.com/office/excel/2006/main">
          <x14:cfRule type="expression" priority="38" id="{AF13DEFD-8C06-4ED2-9A44-0E100FA6CAFC}">
            <xm:f>INDEX(英雄羁绊!$D:$D,MATCH(AA2,英雄羁绊!$A:$A,0))=20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AA2:AD34</xm:sqref>
        </x14:conditionalFormatting>
        <x14:conditionalFormatting xmlns:xm="http://schemas.microsoft.com/office/excel/2006/main">
          <x14:cfRule type="expression" priority="15" id="{09707BFB-7BC2-4EA1-96EC-30BBFF74D02E}">
            <xm:f>INDEX(英雄羁绊!$D:$D,MATCH(AA35,英雄羁绊!$A:$A,0))=16</xm:f>
            <x14:dxf>
              <fill>
                <patternFill>
                  <bgColor rgb="FFFFC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6" id="{9E34B397-DC13-410A-83E8-E16711A50A48}">
            <xm:f>INDEX(英雄羁绊!$D:$D,MATCH(AA35,英雄羁绊!$A:$A,0))=13</xm:f>
            <x14:dxf>
              <fill>
                <patternFill>
                  <bgColor theme="9" tint="0.3999450666829432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7" id="{66CC37E4-4C6B-43B4-9BD4-7CE2AA4DBB1E}">
            <xm:f>INDEX(英雄羁绊!$D:$D,MATCH(AA35,英雄羁绊!$A:$A,0))=11</xm:f>
            <x14:dxf>
              <fill>
                <patternFill>
                  <bgColor rgb="FF7030A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AA35:AC44</xm:sqref>
        </x14:conditionalFormatting>
        <x14:conditionalFormatting xmlns:xm="http://schemas.microsoft.com/office/excel/2006/main">
          <x14:cfRule type="expression" priority="13" id="{5C2562E3-9B3F-4043-8DE7-5EC71BFEFCD9}">
            <xm:f>INDEX(英雄羁绊!$D:$D,MATCH(AA35,英雄羁绊!$A:$A,0))=20</xm:f>
            <x14:dxf>
              <fill>
                <patternFill>
                  <bgColor rgb="FFFF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AA35:AC44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8"/>
  <sheetViews>
    <sheetView workbookViewId="0">
      <selection activeCell="E114" sqref="E114:E116"/>
    </sheetView>
  </sheetViews>
  <sheetFormatPr defaultRowHeight="13.5"/>
  <cols>
    <col min="1" max="1" width="12" customWidth="1"/>
    <col min="2" max="2" width="44.25" customWidth="1"/>
    <col min="3" max="3" width="12.625" customWidth="1"/>
    <col min="4" max="4" width="11.625" customWidth="1"/>
    <col min="5" max="5" width="40.5" customWidth="1"/>
    <col min="6" max="6" width="22" style="138" customWidth="1"/>
  </cols>
  <sheetData>
    <row r="1" spans="1:5" ht="13.5" customHeight="1">
      <c r="A1" s="65" t="s">
        <v>480</v>
      </c>
      <c r="B1" s="65" t="s">
        <v>481</v>
      </c>
      <c r="D1" s="74" t="s">
        <v>482</v>
      </c>
      <c r="E1" t="str">
        <f>IFERROR(VLOOKUP(D1,$A$2:$B$111,2,FALSE),"[]")</f>
        <v>[]</v>
      </c>
    </row>
    <row r="2" spans="1:5" ht="13.5" customHeight="1">
      <c r="A2" s="117" t="s">
        <v>1</v>
      </c>
      <c r="B2" t="str">
        <f>FindStrAndLink($A2,hero_jiban表!$A$2:$D$136,hero_jiban表!$E$2:$E$136)</f>
        <v>11011,11013,11021,11030,11034,11038</v>
      </c>
      <c r="D2" s="74" t="s">
        <v>483</v>
      </c>
      <c r="E2" t="str">
        <f t="shared" ref="E2:E65" si="0">IFERROR(VLOOKUP(D2,$A$2:$B$111,2,FALSE),"[]")</f>
        <v>[]</v>
      </c>
    </row>
    <row r="3" spans="1:5" ht="13.5" customHeight="1">
      <c r="A3" s="117" t="s">
        <v>95</v>
      </c>
      <c r="B3" t="str">
        <f>FindStrAndLink($A3,hero_jiban表!$A$2:$D$136,hero_jiban表!$E$2:$E$136)</f>
        <v>11011,11013,11022,11032,11036,11039</v>
      </c>
      <c r="D3" s="74" t="s">
        <v>608</v>
      </c>
      <c r="E3" t="str">
        <f t="shared" si="0"/>
        <v>11112,11114,11123,11131,11135,11140</v>
      </c>
    </row>
    <row r="4" spans="1:5" ht="13.5" customHeight="1">
      <c r="A4" s="52" t="s">
        <v>4</v>
      </c>
      <c r="B4" t="str">
        <f>FindStrAndLink($A4,hero_jiban表!$A$2:$D$136,hero_jiban表!$E$2:$E$136)</f>
        <v>11012,11014,11023,11031,11035,11040</v>
      </c>
      <c r="D4" s="74" t="s">
        <v>484</v>
      </c>
      <c r="E4" t="str">
        <f t="shared" si="0"/>
        <v>11211,11213,11221,11230,11234,11238</v>
      </c>
    </row>
    <row r="5" spans="1:5" ht="13.5" customHeight="1">
      <c r="A5" s="52" t="s">
        <v>26</v>
      </c>
      <c r="B5" t="str">
        <f>FindStrAndLink($A5,hero_jiban表!$A$2:$D$136,hero_jiban表!$E$2:$E$136)</f>
        <v>11012,11014,11024,11033,11037,11041</v>
      </c>
      <c r="D5" s="74" t="s">
        <v>29</v>
      </c>
      <c r="E5" t="str">
        <f t="shared" si="0"/>
        <v>11111,11113,11121,11130,11134,11138</v>
      </c>
    </row>
    <row r="6" spans="1:5" ht="13.5" customHeight="1">
      <c r="A6" s="110" t="s">
        <v>138</v>
      </c>
      <c r="B6" t="str">
        <f>FindStrAndLink($A6,hero_jiban表!$A$2:$D$136,hero_jiban表!$E$2:$E$136)</f>
        <v>11011,11014,11016,11026,11028,11029</v>
      </c>
      <c r="D6" s="75" t="s">
        <v>33</v>
      </c>
      <c r="E6" t="str">
        <f t="shared" si="0"/>
        <v>11112,11113,11115,11125,11127,11129</v>
      </c>
    </row>
    <row r="7" spans="1:5" ht="13.5" customHeight="1">
      <c r="A7" s="110" t="s">
        <v>22</v>
      </c>
      <c r="B7" t="str">
        <f>FindStrAndLink($A7,hero_jiban表!$A$2:$D$136,hero_jiban表!$E$2:$E$136)</f>
        <v>11012,11013,11015,11025,11027,11029</v>
      </c>
      <c r="D7" s="74" t="s">
        <v>41</v>
      </c>
      <c r="E7" t="str">
        <f t="shared" si="0"/>
        <v>11011,11014,11016,11026,11028,11029</v>
      </c>
    </row>
    <row r="8" spans="1:5" ht="13.5" customHeight="1">
      <c r="A8" s="52" t="s">
        <v>45</v>
      </c>
      <c r="B8" t="str">
        <f>FindStrAndLink($A8,hero_jiban表!$A$2:$D$136,hero_jiban表!$E$2:$E$136)</f>
        <v>11012,11015,11016,11023,11024,11043</v>
      </c>
      <c r="D8" s="74" t="s">
        <v>2</v>
      </c>
      <c r="E8" t="str">
        <f t="shared" si="0"/>
        <v>11012,11013,11015,11025,11027,11029</v>
      </c>
    </row>
    <row r="9" spans="1:5" ht="13.5" customHeight="1">
      <c r="A9" s="53" t="s">
        <v>140</v>
      </c>
      <c r="B9" t="str">
        <f>FindStrAndLink($A9,hero_jiban表!$A$2:$D$136,hero_jiban表!$E$2:$E$136)</f>
        <v>11011,11015,11016,11021,11022,11043</v>
      </c>
      <c r="D9" s="75" t="s">
        <v>181</v>
      </c>
      <c r="E9" t="str">
        <f t="shared" si="0"/>
        <v>11211,11214,11216,11226,11228,11229</v>
      </c>
    </row>
    <row r="10" spans="1:5" ht="13.5" customHeight="1">
      <c r="A10" s="114" t="s">
        <v>24</v>
      </c>
      <c r="B10" t="str">
        <f>FindStrAndLink($A10,hero_jiban表!$A$2:$D$136,hero_jiban表!$E$2:$E$136)</f>
        <v>11017,11020,11025,11026,11038</v>
      </c>
      <c r="D10" s="75" t="s">
        <v>42</v>
      </c>
      <c r="E10" t="str">
        <f t="shared" si="0"/>
        <v>11212,11213,11215,11225,11227,11229</v>
      </c>
    </row>
    <row r="11" spans="1:5" ht="13.5" customHeight="1">
      <c r="A11" s="53" t="s">
        <v>152</v>
      </c>
      <c r="B11" t="str">
        <f>FindStrAndLink($A11,hero_jiban表!$A$2:$D$136,hero_jiban表!$E$2:$E$136)</f>
        <v>11018,11019,11030,11031,11041</v>
      </c>
      <c r="D11" s="76" t="s">
        <v>182</v>
      </c>
      <c r="E11" t="str">
        <f t="shared" si="0"/>
        <v>11111,11114,11116,11126,11128,11129</v>
      </c>
    </row>
    <row r="12" spans="1:5" ht="13.5" customHeight="1">
      <c r="A12" s="114" t="s">
        <v>83</v>
      </c>
      <c r="B12" t="str">
        <f>FindStrAndLink($A12,hero_jiban表!$A$2:$D$136,hero_jiban表!$E$2:$E$136)</f>
        <v>11017,11018,11027,11028,11039</v>
      </c>
      <c r="D12" s="74" t="s">
        <v>3</v>
      </c>
      <c r="E12" t="str">
        <f t="shared" si="0"/>
        <v>11012,11014,11023,11031,11035,11040</v>
      </c>
    </row>
    <row r="13" spans="1:5" ht="13.5" customHeight="1">
      <c r="A13" s="53" t="s">
        <v>763</v>
      </c>
      <c r="B13" t="str">
        <f>FindStrAndLink($A13,hero_jiban表!$A$2:$D$136,hero_jiban表!$E$2:$E$136)</f>
        <v>11017,11018,11036,11037,11040</v>
      </c>
      <c r="D13" s="74" t="s">
        <v>0</v>
      </c>
      <c r="E13" t="str">
        <f t="shared" si="0"/>
        <v>11011,11013,11021,11030,11034,11038</v>
      </c>
    </row>
    <row r="14" spans="1:5" ht="13.5" customHeight="1">
      <c r="A14" s="53" t="s">
        <v>17</v>
      </c>
      <c r="B14" t="str">
        <f>FindStrAndLink($A14,hero_jiban表!$A$2:$D$136,hero_jiban表!$E$2:$E$136)</f>
        <v>11019,11020,11032,11033,11042</v>
      </c>
      <c r="D14" s="74" t="s">
        <v>13</v>
      </c>
      <c r="E14" t="str">
        <f t="shared" si="0"/>
        <v>11111,11113,11122,11132,11136,11139</v>
      </c>
    </row>
    <row r="15" spans="1:5" ht="13.5" customHeight="1">
      <c r="A15" s="53" t="s">
        <v>767</v>
      </c>
      <c r="B15" t="str">
        <f>FindStrAndLink($A15,hero_jiban表!$A$2:$D$136,hero_jiban表!$E$2:$E$136)</f>
        <v>11019,11020,11034,11035,11042</v>
      </c>
      <c r="D15" s="76" t="s">
        <v>185</v>
      </c>
      <c r="E15" t="str">
        <f t="shared" si="0"/>
        <v>11112,11114,11124,11133,11137,11141</v>
      </c>
    </row>
    <row r="16" spans="1:5" ht="13.5" customHeight="1">
      <c r="A16" s="46" t="s">
        <v>147</v>
      </c>
      <c r="B16" t="str">
        <f>FindStrAndLink($A16,hero_jiban表!$A$2:$D$136,hero_jiban表!$E$2:$E$136)</f>
        <v>11044,11047,11048,11052</v>
      </c>
      <c r="D16" s="74" t="s">
        <v>46</v>
      </c>
      <c r="E16" t="str">
        <f t="shared" si="0"/>
        <v>11011,11013,11022,11032,11036,11039</v>
      </c>
    </row>
    <row r="17" spans="1:5" ht="13.5" customHeight="1">
      <c r="A17" s="46" t="s">
        <v>148</v>
      </c>
      <c r="B17" t="str">
        <f>FindStrAndLink($A17,hero_jiban表!$A$2:$D$136,hero_jiban表!$E$2:$E$136)</f>
        <v>11044,11047,11049,11050</v>
      </c>
      <c r="D17" s="75" t="s">
        <v>187</v>
      </c>
      <c r="E17" t="str">
        <f t="shared" si="0"/>
        <v>11211,11215,11216,11221,11222,11243</v>
      </c>
    </row>
    <row r="18" spans="1:5" ht="13.5" customHeight="1">
      <c r="A18" s="46" t="s">
        <v>149</v>
      </c>
      <c r="B18" t="str">
        <f>FindStrAndLink($A18,hero_jiban表!$A$2:$D$136,hero_jiban表!$E$2:$E$136)</f>
        <v>11044,11046,11051,11052</v>
      </c>
      <c r="D18" s="75" t="s">
        <v>40</v>
      </c>
      <c r="E18" t="str">
        <f t="shared" si="0"/>
        <v>11212,11214,11224,11233,11237,11241</v>
      </c>
    </row>
    <row r="19" spans="1:5" ht="13.5" customHeight="1">
      <c r="A19" s="46" t="s">
        <v>82</v>
      </c>
      <c r="B19" t="str">
        <f>FindStrAndLink($A19,hero_jiban表!$A$2:$D$136,hero_jiban表!$E$2:$E$136)</f>
        <v>11045,11046,11049,11053</v>
      </c>
      <c r="D19" s="75" t="s">
        <v>44</v>
      </c>
      <c r="E19" t="str">
        <f t="shared" si="0"/>
        <v>11212,11214,11223,11231,11235,11240</v>
      </c>
    </row>
    <row r="20" spans="1:5" ht="13.5" customHeight="1">
      <c r="A20" s="47" t="s">
        <v>158</v>
      </c>
      <c r="B20" t="str">
        <f>FindStrAndLink($A20,hero_jiban表!$A$2:$D$136,hero_jiban表!$E$2:$E$136)</f>
        <v>11045,11046,11051,11053</v>
      </c>
      <c r="D20" s="74" t="s">
        <v>7</v>
      </c>
      <c r="E20" t="str">
        <f t="shared" si="0"/>
        <v>11112,11115,11116,11123,11124,11143</v>
      </c>
    </row>
    <row r="21" spans="1:5" ht="13.5" customHeight="1">
      <c r="A21" s="47" t="s">
        <v>161</v>
      </c>
      <c r="B21" t="str">
        <f>FindStrAndLink($A21,hero_jiban表!$A$2:$D$136,hero_jiban表!$E$2:$E$136)</f>
        <v>11045,11047,11048,11050</v>
      </c>
      <c r="D21" s="76" t="s">
        <v>189</v>
      </c>
      <c r="E21" t="str">
        <f t="shared" si="0"/>
        <v>11111,11115,11116,11121,11122,11143</v>
      </c>
    </row>
    <row r="22" spans="1:5" ht="13.5" customHeight="1">
      <c r="D22" s="74" t="s">
        <v>168</v>
      </c>
      <c r="E22" t="str">
        <f t="shared" si="0"/>
        <v>11012,11014,11024,11033,11037,11041</v>
      </c>
    </row>
    <row r="23" spans="1:5" ht="13.5" customHeight="1">
      <c r="D23" s="74" t="s">
        <v>48</v>
      </c>
      <c r="E23" t="str">
        <f t="shared" si="0"/>
        <v>11011,11015,11016,11021,11022,11043</v>
      </c>
    </row>
    <row r="24" spans="1:5" ht="13.5" customHeight="1">
      <c r="D24" s="74" t="s">
        <v>43</v>
      </c>
      <c r="E24" t="str">
        <f t="shared" si="0"/>
        <v>11211,11213,11222,11232,11236,11239</v>
      </c>
    </row>
    <row r="25" spans="1:5" ht="13.5" customHeight="1">
      <c r="D25" s="77" t="s">
        <v>86</v>
      </c>
      <c r="E25" t="str">
        <f t="shared" si="0"/>
        <v>11212,11215,11216,11223,11224,11243</v>
      </c>
    </row>
    <row r="26" spans="1:5" ht="13.5" customHeight="1">
      <c r="D26" s="74" t="s">
        <v>47</v>
      </c>
      <c r="E26" t="str">
        <f t="shared" si="0"/>
        <v>11018,11019,11030,11031,11041</v>
      </c>
    </row>
    <row r="27" spans="1:5" ht="13.5" customHeight="1">
      <c r="D27" s="74" t="s">
        <v>25</v>
      </c>
      <c r="E27" t="str">
        <f t="shared" si="0"/>
        <v>11218,11219,11230,11231,11241</v>
      </c>
    </row>
    <row r="28" spans="1:5" ht="13.5" customHeight="1">
      <c r="D28" s="74" t="s">
        <v>35</v>
      </c>
      <c r="E28" t="str">
        <f t="shared" si="0"/>
        <v>11118,11119,11130,11131,11141</v>
      </c>
    </row>
    <row r="29" spans="1:5" ht="13.5" customHeight="1">
      <c r="D29" s="74" t="s">
        <v>15</v>
      </c>
      <c r="E29" t="str">
        <f t="shared" si="0"/>
        <v>11117,11118,11127,11128,11139</v>
      </c>
    </row>
    <row r="30" spans="1:5" ht="13.5" customHeight="1">
      <c r="D30" s="74" t="s">
        <v>169</v>
      </c>
      <c r="E30" t="str">
        <f t="shared" si="0"/>
        <v>11017,11018,11027,11028,11039</v>
      </c>
    </row>
    <row r="31" spans="1:5" ht="13.5" customHeight="1">
      <c r="D31" s="77" t="s">
        <v>50</v>
      </c>
      <c r="E31" t="str">
        <f t="shared" si="0"/>
        <v>11217,11218,11227,11228,11239</v>
      </c>
    </row>
    <row r="32" spans="1:5" ht="13.5" customHeight="1">
      <c r="D32" s="75" t="s">
        <v>85</v>
      </c>
      <c r="E32" t="str">
        <f t="shared" si="0"/>
        <v>11219,11220,11234,11235,11242</v>
      </c>
    </row>
    <row r="33" spans="1:5" ht="13.5" customHeight="1">
      <c r="D33" s="74" t="s">
        <v>5</v>
      </c>
      <c r="E33" t="str">
        <f t="shared" si="0"/>
        <v>11119,11120,11134,11135,11142</v>
      </c>
    </row>
    <row r="34" spans="1:5" ht="13.5" customHeight="1">
      <c r="D34" s="74" t="s">
        <v>23</v>
      </c>
      <c r="E34" t="str">
        <f t="shared" si="0"/>
        <v>11017,11020,11025,11026,11038</v>
      </c>
    </row>
    <row r="35" spans="1:5" ht="13.5" customHeight="1">
      <c r="D35" s="74" t="s">
        <v>192</v>
      </c>
      <c r="E35" t="str">
        <f t="shared" si="0"/>
        <v>11119,11120,11132,11133,11142</v>
      </c>
    </row>
    <row r="36" spans="1:5" ht="13.5" customHeight="1">
      <c r="D36" s="74" t="s">
        <v>16</v>
      </c>
      <c r="E36" t="str">
        <f t="shared" si="0"/>
        <v>11019,11020,11032,11033,11042</v>
      </c>
    </row>
    <row r="37" spans="1:5" ht="13.5" customHeight="1">
      <c r="D37" s="74" t="s">
        <v>27</v>
      </c>
      <c r="E37" t="str">
        <f t="shared" si="0"/>
        <v>11019,11020,11034,11035,11042</v>
      </c>
    </row>
    <row r="38" spans="1:5" ht="13.5" customHeight="1">
      <c r="D38" s="75" t="s">
        <v>80</v>
      </c>
      <c r="E38" t="str">
        <f t="shared" si="0"/>
        <v>11217,11218,11236,11237,11240</v>
      </c>
    </row>
    <row r="39" spans="1:5" ht="13.5" customHeight="1">
      <c r="D39" s="74" t="s">
        <v>36</v>
      </c>
      <c r="E39" t="str">
        <f t="shared" si="0"/>
        <v>11117,11118,11136,11137,11140</v>
      </c>
    </row>
    <row r="40" spans="1:5" ht="13.5" customHeight="1">
      <c r="D40" s="74" t="s">
        <v>45</v>
      </c>
      <c r="E40" t="str">
        <f t="shared" si="0"/>
        <v>11012,11015,11016,11023,11024,11043</v>
      </c>
    </row>
    <row r="41" spans="1:5" ht="13.5" customHeight="1">
      <c r="D41" s="76" t="s">
        <v>170</v>
      </c>
      <c r="E41" t="str">
        <f t="shared" si="0"/>
        <v>11017,11018,11036,11037,11040</v>
      </c>
    </row>
    <row r="42" spans="1:5" ht="13.5" customHeight="1">
      <c r="D42" s="74" t="s">
        <v>8</v>
      </c>
      <c r="E42" t="str">
        <f t="shared" si="0"/>
        <v>11217,11220,11225,11226,11238</v>
      </c>
    </row>
    <row r="43" spans="1:5" ht="13.5" customHeight="1">
      <c r="D43" s="74" t="s">
        <v>194</v>
      </c>
      <c r="E43" t="str">
        <f t="shared" si="0"/>
        <v>11219,11220,11232,11233,11242</v>
      </c>
    </row>
    <row r="44" spans="1:5" ht="13.5" customHeight="1">
      <c r="D44" s="78" t="s">
        <v>53</v>
      </c>
      <c r="E44" t="str">
        <f t="shared" si="0"/>
        <v>11044,11047,11048,11052</v>
      </c>
    </row>
    <row r="45" spans="1:5" ht="13.5" customHeight="1">
      <c r="D45" s="74" t="s">
        <v>54</v>
      </c>
      <c r="E45" t="str">
        <f t="shared" si="0"/>
        <v>11044,11047,11049,11050</v>
      </c>
    </row>
    <row r="46" spans="1:5" ht="13.5" customHeight="1">
      <c r="D46" s="75" t="s">
        <v>195</v>
      </c>
      <c r="E46" t="str">
        <f t="shared" si="0"/>
        <v>11117,11120,11125,11126,11138</v>
      </c>
    </row>
    <row r="47" spans="1:5" ht="13.5" customHeight="1">
      <c r="A47" s="118" t="s">
        <v>30</v>
      </c>
      <c r="B47" t="str">
        <f>FindStrAndLink($A47,hero_jiban表!$A$2:$D$136,hero_jiban表!$E$2:$E$136)</f>
        <v>11111,11113,11121,11130,11134,11138</v>
      </c>
      <c r="D47" s="74" t="s">
        <v>52</v>
      </c>
      <c r="E47" t="str">
        <f t="shared" si="0"/>
        <v>11144,11147,11148,11152</v>
      </c>
    </row>
    <row r="48" spans="1:5" ht="13.5" customHeight="1">
      <c r="A48" s="118" t="s">
        <v>14</v>
      </c>
      <c r="B48" t="str">
        <f>FindStrAndLink($A48,hero_jiban表!$A$2:$D$136,hero_jiban表!$E$2:$E$136)</f>
        <v>11111,11113,11122,11132,11136,11139</v>
      </c>
      <c r="D48" s="74" t="s">
        <v>197</v>
      </c>
      <c r="E48" t="str">
        <f t="shared" si="0"/>
        <v>11145,11146,11151,11153</v>
      </c>
    </row>
    <row r="49" spans="1:5" ht="13.5" customHeight="1">
      <c r="A49" s="8" t="s">
        <v>31</v>
      </c>
      <c r="B49" t="str">
        <f>FindStrAndLink($A49,hero_jiban表!$A$2:$D$136,hero_jiban表!$E$2:$E$136)</f>
        <v>11112,11114,11123,11131,11135,11140</v>
      </c>
      <c r="D49" s="76" t="s">
        <v>51</v>
      </c>
      <c r="E49" t="str">
        <f t="shared" si="0"/>
        <v>11244,11247,11248,11252</v>
      </c>
    </row>
    <row r="50" spans="1:5" ht="13.5" customHeight="1">
      <c r="A50" s="8" t="s">
        <v>38</v>
      </c>
      <c r="B50" t="str">
        <f>FindStrAndLink($A50,hero_jiban表!$A$2:$D$136,hero_jiban表!$E$2:$E$136)</f>
        <v>11112,11114,11124,11133,11137,11141</v>
      </c>
      <c r="D50" s="74" t="s">
        <v>485</v>
      </c>
      <c r="E50" t="str">
        <f t="shared" si="0"/>
        <v>11144,11146,11151,11152</v>
      </c>
    </row>
    <row r="51" spans="1:5" ht="13.5" customHeight="1">
      <c r="A51" s="111" t="s">
        <v>37</v>
      </c>
      <c r="B51" t="str">
        <f>FindStrAndLink($A51,hero_jiban表!$A$2:$D$136,hero_jiban表!$E$2:$E$136)</f>
        <v>11111,11114,11116,11126,11128,11129</v>
      </c>
      <c r="D51" s="74" t="s">
        <v>199</v>
      </c>
      <c r="E51" t="str">
        <f t="shared" si="0"/>
        <v>11145,11147,11148,11150</v>
      </c>
    </row>
    <row r="52" spans="1:5" ht="13.5" customHeight="1">
      <c r="A52" s="111" t="s">
        <v>34</v>
      </c>
      <c r="B52" t="str">
        <f>FindStrAndLink($A52,hero_jiban表!$A$2:$D$136,hero_jiban表!$E$2:$E$136)</f>
        <v>11112,11113,11115,11125,11127,11129</v>
      </c>
      <c r="D52" s="74" t="s">
        <v>20</v>
      </c>
      <c r="E52" t="str">
        <f t="shared" si="0"/>
        <v>11144,11147,11149,11150</v>
      </c>
    </row>
    <row r="53" spans="1:5" ht="13.5" customHeight="1">
      <c r="A53" s="8" t="s">
        <v>7</v>
      </c>
      <c r="B53" t="str">
        <f>FindStrAndLink($A53,hero_jiban表!$A$2:$D$136,hero_jiban表!$E$2:$E$136)</f>
        <v>11112,11115,11116,11123,11124,11143</v>
      </c>
      <c r="D53" s="74" t="s">
        <v>486</v>
      </c>
      <c r="E53" t="str">
        <f t="shared" si="0"/>
        <v>11145,11146,11149,11153</v>
      </c>
    </row>
    <row r="54" spans="1:5" ht="13.5" customHeight="1">
      <c r="A54" s="25" t="s">
        <v>72</v>
      </c>
      <c r="B54" t="str">
        <f>FindStrAndLink($A54,hero_jiban表!$A$2:$D$136,hero_jiban表!$E$2:$E$136)</f>
        <v>11111,11115,11116,11121,11122,11143</v>
      </c>
      <c r="D54" s="75" t="s">
        <v>57</v>
      </c>
      <c r="E54" t="str">
        <f t="shared" si="0"/>
        <v>11245,11246,11249,11253</v>
      </c>
    </row>
    <row r="55" spans="1:5" ht="13.5" customHeight="1">
      <c r="A55" s="115" t="s">
        <v>195</v>
      </c>
      <c r="B55" t="str">
        <f>FindStrAndLink($A55,hero_jiban表!$A$2:$D$136,hero_jiban表!$E$2:$E$136)</f>
        <v>11117,11120,11125,11126,11138</v>
      </c>
      <c r="D55" s="74" t="s">
        <v>49</v>
      </c>
      <c r="E55" t="str">
        <f t="shared" si="0"/>
        <v>11244,11247,11249,11250</v>
      </c>
    </row>
    <row r="56" spans="1:5" ht="13.5" customHeight="1">
      <c r="A56" s="25" t="s">
        <v>760</v>
      </c>
      <c r="B56" t="str">
        <f>FindStrAndLink($A56,hero_jiban表!$A$2:$D$136,hero_jiban表!$E$2:$E$136)</f>
        <v>11118,11119,11130,11131,11141</v>
      </c>
      <c r="D56" s="74" t="s">
        <v>56</v>
      </c>
      <c r="E56" t="str">
        <f t="shared" si="0"/>
        <v>11244,11246,11251,11252</v>
      </c>
    </row>
    <row r="57" spans="1:5" ht="13.5" customHeight="1">
      <c r="A57" s="115" t="s">
        <v>15</v>
      </c>
      <c r="B57" t="str">
        <f>FindStrAndLink($A57,hero_jiban表!$A$2:$D$136,hero_jiban表!$E$2:$E$136)</f>
        <v>11117,11118,11127,11128,11139</v>
      </c>
      <c r="D57" s="74" t="s">
        <v>157</v>
      </c>
      <c r="E57" t="str">
        <f t="shared" si="0"/>
        <v>11045,11046,11051,11053</v>
      </c>
    </row>
    <row r="58" spans="1:5" ht="13.5" customHeight="1">
      <c r="A58" s="25" t="s">
        <v>36</v>
      </c>
      <c r="B58" t="str">
        <f>FindStrAndLink($A58,hero_jiban表!$A$2:$D$136,hero_jiban表!$E$2:$E$136)</f>
        <v>11117,11118,11136,11137,11140</v>
      </c>
      <c r="D58" s="74" t="s">
        <v>55</v>
      </c>
      <c r="E58" t="str">
        <f t="shared" si="0"/>
        <v>11044,11046,11051,11052</v>
      </c>
    </row>
    <row r="59" spans="1:5" ht="13.5" customHeight="1">
      <c r="A59" s="25" t="s">
        <v>74</v>
      </c>
      <c r="B59" t="str">
        <f>FindStrAndLink($A59,hero_jiban表!$A$2:$D$136,hero_jiban表!$E$2:$E$136)</f>
        <v>11119,11120,11132,11133,11142</v>
      </c>
      <c r="D59" s="74" t="s">
        <v>207</v>
      </c>
      <c r="E59" t="str">
        <f t="shared" si="0"/>
        <v>11245,11247,11248,11250</v>
      </c>
    </row>
    <row r="60" spans="1:5" ht="13.5" customHeight="1">
      <c r="A60" s="25" t="s">
        <v>605</v>
      </c>
      <c r="B60" t="str">
        <f>FindStrAndLink($A60,hero_jiban表!$A$2:$D$136,hero_jiban表!$E$2:$E$136)</f>
        <v>11119,11120,11134,11135,11142</v>
      </c>
      <c r="D60" s="74" t="s">
        <v>215</v>
      </c>
      <c r="E60" t="str">
        <f t="shared" si="0"/>
        <v>11245,11246,11251,11253</v>
      </c>
    </row>
    <row r="61" spans="1:5" ht="13.5" customHeight="1">
      <c r="A61" s="47" t="s">
        <v>52</v>
      </c>
      <c r="B61" t="str">
        <f>FindStrAndLink($A61,hero_jiban表!$A$2:$D$136,hero_jiban表!$E$2:$E$136)</f>
        <v>11144,11147,11148,11152</v>
      </c>
      <c r="D61" s="74" t="s">
        <v>160</v>
      </c>
      <c r="E61" t="str">
        <f t="shared" si="0"/>
        <v>11045,11047,11048,11050</v>
      </c>
    </row>
    <row r="62" spans="1:5" ht="13.5" customHeight="1">
      <c r="A62" s="47" t="s">
        <v>20</v>
      </c>
      <c r="B62" t="str">
        <f>FindStrAndLink($A62,hero_jiban表!$A$2:$D$136,hero_jiban表!$E$2:$E$136)</f>
        <v>11144,11147,11149,11150</v>
      </c>
      <c r="D62" s="79" t="s">
        <v>202</v>
      </c>
      <c r="E62" t="str">
        <f t="shared" si="0"/>
        <v>[]</v>
      </c>
    </row>
    <row r="63" spans="1:5" ht="13.5" customHeight="1">
      <c r="A63" s="47" t="s">
        <v>75</v>
      </c>
      <c r="B63" t="str">
        <f>FindStrAndLink($A63,hero_jiban表!$A$2:$D$136,hero_jiban表!$E$2:$E$136)</f>
        <v>11144,11146,11151,11152</v>
      </c>
      <c r="D63" s="74" t="s">
        <v>203</v>
      </c>
      <c r="E63" t="str">
        <f t="shared" si="0"/>
        <v>[]</v>
      </c>
    </row>
    <row r="64" spans="1:5" ht="13.5" customHeight="1">
      <c r="A64" s="47" t="s">
        <v>76</v>
      </c>
      <c r="B64" t="str">
        <f>FindStrAndLink($A64,hero_jiban表!$A$2:$D$136,hero_jiban表!$E$2:$E$136)</f>
        <v>11145,11146,11149,11153</v>
      </c>
      <c r="D64" s="74" t="s">
        <v>487</v>
      </c>
      <c r="E64" t="str">
        <f t="shared" si="0"/>
        <v>[]</v>
      </c>
    </row>
    <row r="65" spans="1:5" ht="13.5" customHeight="1">
      <c r="A65" s="46" t="s">
        <v>70</v>
      </c>
      <c r="B65" t="str">
        <f>FindStrAndLink($A65,hero_jiban表!$A$2:$D$136,hero_jiban表!$E$2:$E$136)</f>
        <v>11145,11146,11151,11153</v>
      </c>
      <c r="D65" s="74" t="s">
        <v>488</v>
      </c>
      <c r="E65" t="str">
        <f t="shared" si="0"/>
        <v>[]</v>
      </c>
    </row>
    <row r="66" spans="1:5" ht="13.5" customHeight="1">
      <c r="A66" s="46" t="s">
        <v>71</v>
      </c>
      <c r="B66" t="str">
        <f>FindStrAndLink($A66,hero_jiban表!$A$2:$D$136,hero_jiban表!$E$2:$E$136)</f>
        <v>11145,11147,11148,11150</v>
      </c>
      <c r="D66" s="74" t="s">
        <v>489</v>
      </c>
      <c r="E66" t="str">
        <f t="shared" ref="E66:E116" si="1">IFERROR(VLOOKUP(D66,$A$2:$B$111,2,FALSE),"[]")</f>
        <v>[]</v>
      </c>
    </row>
    <row r="67" spans="1:5" ht="13.5" customHeight="1">
      <c r="D67" s="74" t="s">
        <v>490</v>
      </c>
      <c r="E67" t="str">
        <f t="shared" si="1"/>
        <v>[]</v>
      </c>
    </row>
    <row r="68" spans="1:5" ht="13.5" customHeight="1">
      <c r="D68" s="74" t="s">
        <v>491</v>
      </c>
      <c r="E68" t="str">
        <f t="shared" si="1"/>
        <v>[]</v>
      </c>
    </row>
    <row r="69" spans="1:5" ht="13.5" customHeight="1">
      <c r="D69" s="74" t="s">
        <v>492</v>
      </c>
      <c r="E69" t="str">
        <f t="shared" si="1"/>
        <v>[]</v>
      </c>
    </row>
    <row r="70" spans="1:5" ht="13.5" customHeight="1">
      <c r="D70" s="74" t="s">
        <v>493</v>
      </c>
      <c r="E70" t="str">
        <f t="shared" si="1"/>
        <v>[]</v>
      </c>
    </row>
    <row r="71" spans="1:5" ht="13.5" customHeight="1">
      <c r="D71" s="74" t="s">
        <v>494</v>
      </c>
      <c r="E71" t="str">
        <f t="shared" si="1"/>
        <v>[]</v>
      </c>
    </row>
    <row r="72" spans="1:5" ht="13.5" customHeight="1">
      <c r="D72" s="74" t="s">
        <v>213</v>
      </c>
      <c r="E72" t="str">
        <f t="shared" si="1"/>
        <v>[]</v>
      </c>
    </row>
    <row r="73" spans="1:5" ht="13.5" customHeight="1">
      <c r="D73" s="74" t="s">
        <v>214</v>
      </c>
      <c r="E73" t="str">
        <f t="shared" si="1"/>
        <v>[]</v>
      </c>
    </row>
    <row r="74" spans="1:5" ht="13.5" customHeight="1">
      <c r="D74" s="74" t="s">
        <v>216</v>
      </c>
      <c r="E74" t="str">
        <f t="shared" si="1"/>
        <v>[]</v>
      </c>
    </row>
    <row r="75" spans="1:5" ht="13.5" customHeight="1">
      <c r="D75" s="74" t="s">
        <v>217</v>
      </c>
      <c r="E75" t="str">
        <f t="shared" si="1"/>
        <v>[]</v>
      </c>
    </row>
    <row r="76" spans="1:5" ht="13.5" customHeight="1">
      <c r="D76" s="74" t="s">
        <v>218</v>
      </c>
      <c r="E76" t="str">
        <f t="shared" si="1"/>
        <v>[]</v>
      </c>
    </row>
    <row r="77" spans="1:5" ht="13.5" customHeight="1">
      <c r="D77" s="74" t="s">
        <v>219</v>
      </c>
      <c r="E77" t="str">
        <f t="shared" si="1"/>
        <v>[]</v>
      </c>
    </row>
    <row r="78" spans="1:5" ht="13.5" customHeight="1">
      <c r="D78" s="74" t="s">
        <v>220</v>
      </c>
      <c r="E78" t="str">
        <f t="shared" si="1"/>
        <v>[]</v>
      </c>
    </row>
    <row r="79" spans="1:5" ht="13.5" customHeight="1">
      <c r="D79" s="74" t="s">
        <v>221</v>
      </c>
      <c r="E79" t="str">
        <f t="shared" si="1"/>
        <v>[]</v>
      </c>
    </row>
    <row r="80" spans="1:5" ht="13.5" customHeight="1">
      <c r="D80" s="74" t="s">
        <v>222</v>
      </c>
      <c r="E80" t="str">
        <f t="shared" si="1"/>
        <v>[]</v>
      </c>
    </row>
    <row r="81" spans="1:5" ht="13.5" customHeight="1">
      <c r="D81" s="74" t="s">
        <v>223</v>
      </c>
      <c r="E81" t="str">
        <f t="shared" si="1"/>
        <v>[]</v>
      </c>
    </row>
    <row r="82" spans="1:5" ht="13.5" customHeight="1">
      <c r="D82" s="74" t="s">
        <v>224</v>
      </c>
      <c r="E82" t="str">
        <f t="shared" si="1"/>
        <v>[]</v>
      </c>
    </row>
    <row r="83" spans="1:5" ht="13.5" customHeight="1">
      <c r="D83" s="74" t="s">
        <v>225</v>
      </c>
      <c r="E83" t="str">
        <f t="shared" si="1"/>
        <v>[]</v>
      </c>
    </row>
    <row r="84" spans="1:5" ht="13.5" customHeight="1">
      <c r="D84" s="74" t="s">
        <v>495</v>
      </c>
      <c r="E84" t="str">
        <f t="shared" si="1"/>
        <v>[]</v>
      </c>
    </row>
    <row r="85" spans="1:5" ht="13.5" customHeight="1">
      <c r="D85" s="74" t="s">
        <v>496</v>
      </c>
      <c r="E85" t="str">
        <f t="shared" si="1"/>
        <v>[]</v>
      </c>
    </row>
    <row r="86" spans="1:5" ht="13.5" customHeight="1">
      <c r="D86" s="74" t="s">
        <v>497</v>
      </c>
      <c r="E86" t="str">
        <f t="shared" si="1"/>
        <v>[]</v>
      </c>
    </row>
    <row r="87" spans="1:5" ht="13.5" customHeight="1">
      <c r="D87" s="74" t="s">
        <v>498</v>
      </c>
      <c r="E87" t="str">
        <f t="shared" si="1"/>
        <v>[]</v>
      </c>
    </row>
    <row r="88" spans="1:5" ht="13.5" customHeight="1">
      <c r="D88" s="74" t="s">
        <v>230</v>
      </c>
      <c r="E88" t="str">
        <f t="shared" si="1"/>
        <v>[]</v>
      </c>
    </row>
    <row r="89" spans="1:5" ht="13.5" customHeight="1">
      <c r="D89" s="74" t="s">
        <v>231</v>
      </c>
      <c r="E89" t="str">
        <f t="shared" si="1"/>
        <v>[]</v>
      </c>
    </row>
    <row r="90" spans="1:5" ht="13.5" customHeight="1">
      <c r="D90" s="74" t="s">
        <v>232</v>
      </c>
      <c r="E90" t="str">
        <f t="shared" si="1"/>
        <v>[]</v>
      </c>
    </row>
    <row r="91" spans="1:5" ht="13.5" customHeight="1">
      <c r="D91" s="74" t="s">
        <v>233</v>
      </c>
      <c r="E91" t="str">
        <f t="shared" si="1"/>
        <v>[]</v>
      </c>
    </row>
    <row r="92" spans="1:5" ht="13.5" customHeight="1">
      <c r="A92" s="119" t="s">
        <v>61</v>
      </c>
      <c r="B92" t="str">
        <f>FindStrAndLink($A92,hero_jiban表!$A$2:$D$136,hero_jiban表!$E$2:$E$136)</f>
        <v>11211,11213,11221,11230,11234,11238</v>
      </c>
      <c r="D92" s="74" t="s">
        <v>234</v>
      </c>
      <c r="E92" t="str">
        <f t="shared" si="1"/>
        <v>[]</v>
      </c>
    </row>
    <row r="93" spans="1:5" ht="13.5" customHeight="1">
      <c r="A93" s="119" t="s">
        <v>94</v>
      </c>
      <c r="B93" t="str">
        <f>FindStrAndLink($A93,hero_jiban表!$A$2:$D$136,hero_jiban表!$E$2:$E$136)</f>
        <v>11211,11213,11222,11232,11236,11239</v>
      </c>
      <c r="D93" s="74" t="s">
        <v>235</v>
      </c>
      <c r="E93" t="str">
        <f t="shared" si="1"/>
        <v>[]</v>
      </c>
    </row>
    <row r="94" spans="1:5" ht="13.5" customHeight="1">
      <c r="A94" s="11" t="s">
        <v>44</v>
      </c>
      <c r="B94" t="str">
        <f>FindStrAndLink($A94,hero_jiban表!$A$2:$D$136,hero_jiban表!$E$2:$E$136)</f>
        <v>11212,11214,11223,11231,11235,11240</v>
      </c>
      <c r="D94" s="74" t="s">
        <v>236</v>
      </c>
      <c r="E94" t="str">
        <f t="shared" si="1"/>
        <v>[]</v>
      </c>
    </row>
    <row r="95" spans="1:5" ht="13.5" customHeight="1">
      <c r="A95" s="11" t="s">
        <v>40</v>
      </c>
      <c r="B95" t="str">
        <f>FindStrAndLink($A95,hero_jiban表!$A$2:$D$136,hero_jiban表!$E$2:$E$136)</f>
        <v>11212,11214,11224,11233,11237,11241</v>
      </c>
      <c r="D95" s="74" t="s">
        <v>237</v>
      </c>
      <c r="E95" t="str">
        <f t="shared" si="1"/>
        <v>[]</v>
      </c>
    </row>
    <row r="96" spans="1:5" ht="13.5" customHeight="1">
      <c r="A96" s="112" t="s">
        <v>77</v>
      </c>
      <c r="B96" t="str">
        <f>FindStrAndLink($A96,hero_jiban表!$A$2:$D$136,hero_jiban表!$E$2:$E$136)</f>
        <v>11211,11214,11216,11226,11228,11229</v>
      </c>
      <c r="D96" s="74" t="s">
        <v>238</v>
      </c>
      <c r="E96" t="str">
        <f t="shared" si="1"/>
        <v>[]</v>
      </c>
    </row>
    <row r="97" spans="1:5" ht="13.5" customHeight="1">
      <c r="A97" s="112" t="s">
        <v>42</v>
      </c>
      <c r="B97" t="str">
        <f>FindStrAndLink($A97,hero_jiban表!$A$2:$D$136,hero_jiban表!$E$2:$E$136)</f>
        <v>11212,11213,11215,11225,11227,11229</v>
      </c>
      <c r="D97" s="74" t="s">
        <v>499</v>
      </c>
      <c r="E97" t="str">
        <f t="shared" si="1"/>
        <v>[]</v>
      </c>
    </row>
    <row r="98" spans="1:5" ht="13.5" customHeight="1">
      <c r="A98" s="11" t="s">
        <v>86</v>
      </c>
      <c r="B98" t="str">
        <f>FindStrAndLink($A98,hero_jiban表!$A$2:$D$136,hero_jiban表!$E$2:$E$136)</f>
        <v>11212,11215,11216,11223,11224,11243</v>
      </c>
      <c r="D98" s="74" t="s">
        <v>500</v>
      </c>
      <c r="E98" t="str">
        <f t="shared" si="1"/>
        <v>[]</v>
      </c>
    </row>
    <row r="99" spans="1:5" ht="13.5" customHeight="1">
      <c r="A99" s="26" t="s">
        <v>78</v>
      </c>
      <c r="B99" t="str">
        <f>FindStrAndLink($A99,hero_jiban表!$A$2:$D$136,hero_jiban表!$E$2:$E$136)</f>
        <v>11211,11215,11216,11221,11222,11243</v>
      </c>
      <c r="D99" s="74" t="s">
        <v>501</v>
      </c>
      <c r="E99" t="str">
        <f t="shared" si="1"/>
        <v>[]</v>
      </c>
    </row>
    <row r="100" spans="1:5" ht="13.5" customHeight="1">
      <c r="A100" s="116" t="s">
        <v>8</v>
      </c>
      <c r="B100" t="str">
        <f>FindStrAndLink($A100,hero_jiban表!$A$2:$D$136,hero_jiban表!$E$2:$E$136)</f>
        <v>11217,11220,11225,11226,11238</v>
      </c>
      <c r="D100" s="74" t="s">
        <v>502</v>
      </c>
      <c r="E100" t="str">
        <f t="shared" si="1"/>
        <v>[]</v>
      </c>
    </row>
    <row r="101" spans="1:5" ht="13.5" customHeight="1">
      <c r="A101" s="26" t="s">
        <v>25</v>
      </c>
      <c r="B101" t="str">
        <f>FindStrAndLink($A101,hero_jiban表!$A$2:$D$136,hero_jiban表!$E$2:$E$136)</f>
        <v>11218,11219,11230,11231,11241</v>
      </c>
      <c r="D101" s="74" t="s">
        <v>503</v>
      </c>
      <c r="E101" t="str">
        <f t="shared" si="1"/>
        <v>[]</v>
      </c>
    </row>
    <row r="102" spans="1:5" ht="13.5" customHeight="1">
      <c r="A102" s="116" t="s">
        <v>762</v>
      </c>
      <c r="B102" t="str">
        <f>FindStrAndLink($A102,hero_jiban表!$A$2:$D$136,hero_jiban表!$E$2:$E$136)</f>
        <v>11217,11218,11227,11228,11239</v>
      </c>
      <c r="D102" s="74" t="s">
        <v>504</v>
      </c>
      <c r="E102" t="str">
        <f t="shared" si="1"/>
        <v>[]</v>
      </c>
    </row>
    <row r="103" spans="1:5" ht="13.5" customHeight="1">
      <c r="A103" s="26" t="s">
        <v>21</v>
      </c>
      <c r="B103" t="str">
        <f>FindStrAndLink($A103,hero_jiban表!$A$2:$D$136,hero_jiban表!$E$2:$E$136)</f>
        <v>11217,11218,11236,11237,11240</v>
      </c>
      <c r="D103" s="74" t="s">
        <v>505</v>
      </c>
      <c r="E103" t="str">
        <f t="shared" si="1"/>
        <v>[]</v>
      </c>
    </row>
    <row r="104" spans="1:5" ht="13.5" customHeight="1">
      <c r="A104" s="26" t="s">
        <v>766</v>
      </c>
      <c r="B104" t="str">
        <f>FindStrAndLink($A104,hero_jiban表!$A$2:$D$136,hero_jiban表!$E$2:$E$136)</f>
        <v>11219,11220,11232,11233,11242</v>
      </c>
      <c r="D104" s="74" t="s">
        <v>506</v>
      </c>
      <c r="E104" t="str">
        <f t="shared" si="1"/>
        <v>[]</v>
      </c>
    </row>
    <row r="105" spans="1:5" ht="13.5" customHeight="1">
      <c r="A105" s="26" t="s">
        <v>85</v>
      </c>
      <c r="B105" t="str">
        <f>FindStrAndLink($A105,hero_jiban表!$A$2:$D$136,hero_jiban表!$E$2:$E$136)</f>
        <v>11219,11220,11234,11235,11242</v>
      </c>
      <c r="D105" s="74" t="s">
        <v>507</v>
      </c>
      <c r="E105" t="str">
        <f t="shared" si="1"/>
        <v>[]</v>
      </c>
    </row>
    <row r="106" spans="1:5" ht="13.5" customHeight="1">
      <c r="A106" s="10" t="s">
        <v>51</v>
      </c>
      <c r="B106" t="str">
        <f>FindStrAndLink($A106,hero_jiban表!$A$2:$D$136,hero_jiban表!$E$2:$E$136)</f>
        <v>11244,11247,11248,11252</v>
      </c>
      <c r="D106" s="80" t="s">
        <v>508</v>
      </c>
      <c r="E106" t="str">
        <f t="shared" si="1"/>
        <v>[]</v>
      </c>
    </row>
    <row r="107" spans="1:5" ht="13.5" customHeight="1">
      <c r="A107" s="10" t="s">
        <v>49</v>
      </c>
      <c r="B107" t="str">
        <f>FindStrAndLink($A107,hero_jiban表!$A$2:$D$136,hero_jiban表!$E$2:$E$136)</f>
        <v>11244,11247,11249,11250</v>
      </c>
      <c r="D107" s="80" t="s">
        <v>81</v>
      </c>
      <c r="E107" t="str">
        <f t="shared" si="1"/>
        <v>[]</v>
      </c>
    </row>
    <row r="108" spans="1:5" ht="13.5" customHeight="1">
      <c r="A108" s="10" t="s">
        <v>56</v>
      </c>
      <c r="B108" t="str">
        <f>FindStrAndLink($A108,hero_jiban表!$A$2:$D$136,hero_jiban表!$E$2:$E$136)</f>
        <v>11244,11246,11251,11252</v>
      </c>
      <c r="D108" s="80" t="s">
        <v>509</v>
      </c>
      <c r="E108" t="str">
        <f t="shared" si="1"/>
        <v>[]</v>
      </c>
    </row>
    <row r="109" spans="1:5" ht="13.5" customHeight="1">
      <c r="A109" s="46" t="s">
        <v>150</v>
      </c>
      <c r="B109" t="str">
        <f>FindStrAndLink($A109,hero_jiban表!$A$2:$D$136,hero_jiban表!$E$2:$E$136)</f>
        <v>11245,11246,11249,11253</v>
      </c>
      <c r="D109" s="76" t="s">
        <v>510</v>
      </c>
      <c r="E109" t="str">
        <f t="shared" si="1"/>
        <v>[]</v>
      </c>
    </row>
    <row r="110" spans="1:5" ht="13.5" customHeight="1">
      <c r="A110" s="10" t="s">
        <v>154</v>
      </c>
      <c r="B110" t="str">
        <f>FindStrAndLink($A110,hero_jiban表!$A$2:$D$136,hero_jiban表!$E$2:$E$136)</f>
        <v>11245,11246,11251,11253</v>
      </c>
      <c r="D110" s="80" t="s">
        <v>86</v>
      </c>
      <c r="E110" t="str">
        <f t="shared" si="1"/>
        <v>11212,11215,11216,11223,11224,11243</v>
      </c>
    </row>
    <row r="111" spans="1:5" ht="13.5" customHeight="1">
      <c r="A111" s="46" t="s">
        <v>32</v>
      </c>
      <c r="B111" t="str">
        <f>FindStrAndLink($A111,hero_jiban表!$A$2:$D$136,hero_jiban表!$E$2:$E$136)</f>
        <v>11245,11247,11248,11250</v>
      </c>
      <c r="D111" s="80" t="s">
        <v>511</v>
      </c>
      <c r="E111" t="str">
        <f t="shared" si="1"/>
        <v>[]</v>
      </c>
    </row>
    <row r="112" spans="1:5" ht="13.5" customHeight="1">
      <c r="D112" s="74" t="s">
        <v>171</v>
      </c>
      <c r="E112" t="str">
        <f t="shared" si="1"/>
        <v>11045,11046,11049,11053</v>
      </c>
    </row>
    <row r="113" spans="4:5" ht="13.5" customHeight="1">
      <c r="D113" s="80" t="s">
        <v>512</v>
      </c>
      <c r="E113" t="str">
        <f t="shared" si="1"/>
        <v>[]</v>
      </c>
    </row>
    <row r="114" spans="4:5" ht="13.5" customHeight="1">
      <c r="D114" s="81" t="s">
        <v>43</v>
      </c>
      <c r="E114" t="str">
        <f t="shared" si="1"/>
        <v>11211,11213,11222,11232,11236,11239</v>
      </c>
    </row>
    <row r="115" spans="4:5" ht="13.5" customHeight="1">
      <c r="D115" s="81" t="s">
        <v>168</v>
      </c>
      <c r="E115" t="str">
        <f t="shared" si="1"/>
        <v>11012,11014,11024,11033,11037,11041</v>
      </c>
    </row>
    <row r="116" spans="4:5" ht="13.5" customHeight="1">
      <c r="D116" s="82" t="s">
        <v>0</v>
      </c>
      <c r="E116" t="str">
        <f t="shared" si="1"/>
        <v>11011,11013,11021,11030,11034,11038</v>
      </c>
    </row>
    <row r="117" spans="4:5" ht="13.5" customHeight="1">
      <c r="D117" s="66"/>
    </row>
    <row r="118" spans="4:5">
      <c r="D118" s="6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workbookViewId="0">
      <selection sqref="A1:A20"/>
    </sheetView>
  </sheetViews>
  <sheetFormatPr defaultRowHeight="13.5"/>
  <sheetData>
    <row r="1" spans="1:4">
      <c r="A1" s="117" t="s">
        <v>734</v>
      </c>
      <c r="B1" s="118" t="s">
        <v>735</v>
      </c>
      <c r="C1" s="119" t="s">
        <v>736</v>
      </c>
      <c r="D1" t="s">
        <v>737</v>
      </c>
    </row>
    <row r="2" spans="1:4">
      <c r="A2" s="117" t="s">
        <v>738</v>
      </c>
      <c r="B2" s="118" t="s">
        <v>739</v>
      </c>
      <c r="C2" s="119" t="s">
        <v>740</v>
      </c>
      <c r="D2" t="s">
        <v>741</v>
      </c>
    </row>
    <row r="3" spans="1:4">
      <c r="A3" s="52" t="s">
        <v>742</v>
      </c>
      <c r="B3" s="8" t="s">
        <v>31</v>
      </c>
      <c r="C3" s="11" t="s">
        <v>44</v>
      </c>
      <c r="D3" t="s">
        <v>743</v>
      </c>
    </row>
    <row r="4" spans="1:4">
      <c r="A4" s="52" t="s">
        <v>744</v>
      </c>
      <c r="B4" s="8" t="s">
        <v>745</v>
      </c>
      <c r="C4" s="11" t="s">
        <v>40</v>
      </c>
      <c r="D4" t="s">
        <v>741</v>
      </c>
    </row>
    <row r="5" spans="1:4">
      <c r="A5" s="110" t="s">
        <v>746</v>
      </c>
      <c r="B5" s="111" t="s">
        <v>747</v>
      </c>
      <c r="C5" s="112" t="s">
        <v>748</v>
      </c>
      <c r="D5" s="113" t="s">
        <v>749</v>
      </c>
    </row>
    <row r="6" spans="1:4">
      <c r="A6" s="110" t="s">
        <v>750</v>
      </c>
      <c r="B6" s="111" t="s">
        <v>751</v>
      </c>
      <c r="C6" s="112" t="s">
        <v>42</v>
      </c>
      <c r="D6" s="113" t="s">
        <v>752</v>
      </c>
    </row>
    <row r="7" spans="1:4">
      <c r="A7" s="52" t="s">
        <v>45</v>
      </c>
      <c r="B7" s="8" t="s">
        <v>7</v>
      </c>
      <c r="C7" s="11" t="s">
        <v>86</v>
      </c>
      <c r="D7" t="s">
        <v>753</v>
      </c>
    </row>
    <row r="8" spans="1:4">
      <c r="A8" s="53" t="s">
        <v>754</v>
      </c>
      <c r="B8" s="25" t="s">
        <v>755</v>
      </c>
      <c r="C8" s="26" t="s">
        <v>756</v>
      </c>
      <c r="D8" t="s">
        <v>757</v>
      </c>
    </row>
    <row r="9" spans="1:4">
      <c r="A9" s="114" t="s">
        <v>758</v>
      </c>
      <c r="B9" s="115" t="s">
        <v>195</v>
      </c>
      <c r="C9" s="116" t="s">
        <v>8</v>
      </c>
      <c r="D9" s="113" t="s">
        <v>752</v>
      </c>
    </row>
    <row r="10" spans="1:4">
      <c r="A10" s="53" t="s">
        <v>759</v>
      </c>
      <c r="B10" s="25" t="s">
        <v>760</v>
      </c>
      <c r="C10" s="26" t="s">
        <v>25</v>
      </c>
      <c r="D10" t="s">
        <v>743</v>
      </c>
    </row>
    <row r="11" spans="1:4">
      <c r="A11" s="114" t="s">
        <v>761</v>
      </c>
      <c r="B11" s="115" t="s">
        <v>15</v>
      </c>
      <c r="C11" s="116" t="s">
        <v>762</v>
      </c>
      <c r="D11" s="113" t="s">
        <v>752</v>
      </c>
    </row>
    <row r="12" spans="1:4">
      <c r="A12" s="53" t="s">
        <v>763</v>
      </c>
      <c r="B12" s="25" t="s">
        <v>36</v>
      </c>
      <c r="C12" s="26" t="s">
        <v>764</v>
      </c>
      <c r="D12" t="s">
        <v>741</v>
      </c>
    </row>
    <row r="13" spans="1:4">
      <c r="A13" s="53" t="s">
        <v>16</v>
      </c>
      <c r="B13" s="25" t="s">
        <v>765</v>
      </c>
      <c r="C13" s="26" t="s">
        <v>766</v>
      </c>
      <c r="D13" t="s">
        <v>741</v>
      </c>
    </row>
    <row r="14" spans="1:4">
      <c r="A14" s="53" t="s">
        <v>767</v>
      </c>
      <c r="B14" s="25" t="s">
        <v>768</v>
      </c>
      <c r="C14" s="26" t="s">
        <v>85</v>
      </c>
      <c r="D14" t="s">
        <v>743</v>
      </c>
    </row>
    <row r="15" spans="1:4">
      <c r="A15" s="46" t="s">
        <v>769</v>
      </c>
      <c r="B15" s="47" t="s">
        <v>52</v>
      </c>
      <c r="C15" s="10" t="s">
        <v>51</v>
      </c>
    </row>
    <row r="16" spans="1:4">
      <c r="A16" s="46" t="s">
        <v>770</v>
      </c>
      <c r="B16" s="47" t="s">
        <v>20</v>
      </c>
      <c r="C16" s="10" t="s">
        <v>49</v>
      </c>
    </row>
    <row r="17" spans="1:3">
      <c r="A17" s="46" t="s">
        <v>771</v>
      </c>
      <c r="B17" s="47" t="s">
        <v>772</v>
      </c>
      <c r="C17" s="10" t="s">
        <v>56</v>
      </c>
    </row>
    <row r="18" spans="1:3">
      <c r="A18" s="46" t="s">
        <v>773</v>
      </c>
      <c r="B18" s="47" t="s">
        <v>774</v>
      </c>
      <c r="C18" s="46" t="s">
        <v>775</v>
      </c>
    </row>
    <row r="19" spans="1:3">
      <c r="A19" s="47" t="s">
        <v>776</v>
      </c>
      <c r="B19" s="46" t="s">
        <v>777</v>
      </c>
      <c r="C19" s="10" t="s">
        <v>778</v>
      </c>
    </row>
    <row r="20" spans="1:3">
      <c r="A20" s="47" t="s">
        <v>779</v>
      </c>
      <c r="B20" s="46" t="s">
        <v>780</v>
      </c>
      <c r="C20" s="46" t="s">
        <v>781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24"/>
  <sheetViews>
    <sheetView workbookViewId="0">
      <selection activeCell="C23" sqref="C23"/>
    </sheetView>
  </sheetViews>
  <sheetFormatPr defaultRowHeight="13.5"/>
  <cols>
    <col min="2" max="2" width="22.375" customWidth="1"/>
    <col min="7" max="7" width="18.25" customWidth="1"/>
  </cols>
  <sheetData>
    <row r="1" spans="1:23">
      <c r="A1" s="31" t="s">
        <v>6</v>
      </c>
      <c r="B1" s="32" t="s">
        <v>146</v>
      </c>
    </row>
    <row r="2" spans="1:23">
      <c r="A2" s="117" t="s">
        <v>1</v>
      </c>
      <c r="C2" s="52" t="s">
        <v>787</v>
      </c>
      <c r="D2" s="52" t="s">
        <v>46</v>
      </c>
      <c r="E2" s="52" t="s">
        <v>41</v>
      </c>
      <c r="F2" s="53" t="s">
        <v>48</v>
      </c>
      <c r="G2" s="38"/>
      <c r="H2" s="52" t="s">
        <v>0</v>
      </c>
      <c r="I2" s="52" t="s">
        <v>46</v>
      </c>
      <c r="J2" s="52" t="s">
        <v>2</v>
      </c>
      <c r="K2" s="38"/>
      <c r="L2" s="52" t="s">
        <v>0</v>
      </c>
      <c r="M2" s="53" t="s">
        <v>48</v>
      </c>
      <c r="N2" s="38"/>
      <c r="O2" s="52" t="s">
        <v>0</v>
      </c>
      <c r="P2" s="53" t="s">
        <v>47</v>
      </c>
      <c r="Q2" s="38"/>
      <c r="R2" s="52" t="s">
        <v>0</v>
      </c>
      <c r="S2" s="53" t="s">
        <v>27</v>
      </c>
      <c r="T2" s="38"/>
      <c r="U2" s="52" t="s">
        <v>0</v>
      </c>
      <c r="V2" s="53" t="s">
        <v>23</v>
      </c>
      <c r="W2" s="38"/>
    </row>
    <row r="3" spans="1:23">
      <c r="A3" s="117" t="s">
        <v>95</v>
      </c>
      <c r="C3" s="52" t="s">
        <v>0</v>
      </c>
      <c r="D3" s="52" t="s">
        <v>46</v>
      </c>
      <c r="E3" s="52" t="s">
        <v>41</v>
      </c>
      <c r="F3" s="53" t="s">
        <v>48</v>
      </c>
      <c r="G3" s="38"/>
      <c r="H3" s="52" t="s">
        <v>0</v>
      </c>
      <c r="I3" s="52" t="s">
        <v>46</v>
      </c>
      <c r="J3" s="52" t="s">
        <v>2</v>
      </c>
      <c r="K3" s="38"/>
      <c r="L3" s="52" t="s">
        <v>46</v>
      </c>
      <c r="M3" s="53" t="s">
        <v>48</v>
      </c>
      <c r="N3" s="38"/>
      <c r="O3" s="52" t="s">
        <v>46</v>
      </c>
      <c r="P3" s="53" t="s">
        <v>16</v>
      </c>
      <c r="Q3" s="38"/>
      <c r="R3" s="52" t="s">
        <v>46</v>
      </c>
      <c r="S3" s="53" t="s">
        <v>170</v>
      </c>
      <c r="T3" s="38"/>
      <c r="U3" s="52" t="s">
        <v>46</v>
      </c>
      <c r="V3" s="53" t="s">
        <v>169</v>
      </c>
      <c r="W3" s="37"/>
    </row>
    <row r="4" spans="1:23">
      <c r="A4" s="52" t="s">
        <v>4</v>
      </c>
      <c r="C4" s="52" t="s">
        <v>3</v>
      </c>
      <c r="D4" s="52" t="s">
        <v>168</v>
      </c>
      <c r="E4" s="52" t="s">
        <v>2</v>
      </c>
      <c r="F4" s="53" t="s">
        <v>45</v>
      </c>
      <c r="G4" s="38"/>
      <c r="H4" s="52" t="s">
        <v>3</v>
      </c>
      <c r="I4" s="52" t="s">
        <v>168</v>
      </c>
      <c r="J4" s="52" t="s">
        <v>41</v>
      </c>
      <c r="K4" s="38"/>
      <c r="L4" s="52" t="s">
        <v>3</v>
      </c>
      <c r="M4" s="53" t="s">
        <v>45</v>
      </c>
      <c r="N4" s="37"/>
      <c r="O4" s="52" t="s">
        <v>3</v>
      </c>
      <c r="P4" s="53" t="s">
        <v>47</v>
      </c>
      <c r="Q4" s="37"/>
      <c r="R4" s="52" t="s">
        <v>3</v>
      </c>
      <c r="S4" s="53" t="s">
        <v>27</v>
      </c>
      <c r="T4" s="37"/>
      <c r="U4" s="52" t="s">
        <v>3</v>
      </c>
      <c r="V4" s="53" t="s">
        <v>170</v>
      </c>
      <c r="W4" s="38"/>
    </row>
    <row r="5" spans="1:23">
      <c r="A5" s="52" t="s">
        <v>26</v>
      </c>
      <c r="C5" s="52" t="s">
        <v>3</v>
      </c>
      <c r="D5" s="52" t="s">
        <v>168</v>
      </c>
      <c r="E5" s="52" t="s">
        <v>2</v>
      </c>
      <c r="F5" s="53" t="s">
        <v>45</v>
      </c>
      <c r="G5" s="37"/>
      <c r="H5" s="52" t="s">
        <v>3</v>
      </c>
      <c r="I5" s="52" t="s">
        <v>168</v>
      </c>
      <c r="J5" s="52" t="s">
        <v>41</v>
      </c>
      <c r="K5" s="37"/>
      <c r="L5" s="52" t="s">
        <v>168</v>
      </c>
      <c r="M5" s="53" t="s">
        <v>45</v>
      </c>
      <c r="N5" s="38"/>
      <c r="O5" s="52" t="s">
        <v>168</v>
      </c>
      <c r="P5" s="53" t="s">
        <v>16</v>
      </c>
      <c r="Q5" s="38"/>
      <c r="R5" s="52" t="s">
        <v>168</v>
      </c>
      <c r="S5" s="53" t="s">
        <v>170</v>
      </c>
      <c r="T5" s="38"/>
      <c r="U5" s="52" t="s">
        <v>168</v>
      </c>
      <c r="V5" s="53" t="s">
        <v>47</v>
      </c>
      <c r="W5" s="38"/>
    </row>
    <row r="6" spans="1:23">
      <c r="A6" s="110" t="s">
        <v>138</v>
      </c>
      <c r="C6" s="52" t="s">
        <v>0</v>
      </c>
      <c r="D6" s="52" t="s">
        <v>46</v>
      </c>
      <c r="E6" s="52" t="s">
        <v>41</v>
      </c>
      <c r="F6" s="53" t="s">
        <v>48</v>
      </c>
      <c r="G6" s="38"/>
      <c r="H6" s="52" t="s">
        <v>3</v>
      </c>
      <c r="I6" s="52" t="s">
        <v>168</v>
      </c>
      <c r="J6" s="52" t="s">
        <v>41</v>
      </c>
      <c r="K6" s="37"/>
      <c r="L6" s="52" t="s">
        <v>41</v>
      </c>
      <c r="M6" s="53" t="s">
        <v>48</v>
      </c>
      <c r="N6" s="53" t="s">
        <v>45</v>
      </c>
      <c r="O6" s="37"/>
      <c r="P6" s="52" t="s">
        <v>41</v>
      </c>
      <c r="Q6" s="53" t="s">
        <v>23</v>
      </c>
      <c r="R6" s="37"/>
      <c r="S6" s="52" t="s">
        <v>41</v>
      </c>
      <c r="T6" s="53" t="s">
        <v>169</v>
      </c>
      <c r="U6" s="37"/>
      <c r="V6" s="52" t="s">
        <v>2</v>
      </c>
      <c r="W6" s="52" t="s">
        <v>41</v>
      </c>
    </row>
    <row r="7" spans="1:23">
      <c r="A7" s="110" t="s">
        <v>22</v>
      </c>
      <c r="C7" s="52" t="s">
        <v>3</v>
      </c>
      <c r="D7" s="52" t="s">
        <v>168</v>
      </c>
      <c r="E7" s="52" t="s">
        <v>2</v>
      </c>
      <c r="F7" s="53" t="s">
        <v>45</v>
      </c>
      <c r="G7" s="38"/>
      <c r="H7" s="52" t="s">
        <v>0</v>
      </c>
      <c r="I7" s="52" t="s">
        <v>46</v>
      </c>
      <c r="J7" s="52" t="s">
        <v>2</v>
      </c>
      <c r="K7" s="38"/>
      <c r="L7" s="52" t="s">
        <v>2</v>
      </c>
      <c r="M7" s="53" t="s">
        <v>48</v>
      </c>
      <c r="N7" s="53" t="s">
        <v>45</v>
      </c>
      <c r="O7" s="37"/>
      <c r="P7" s="52" t="s">
        <v>2</v>
      </c>
      <c r="Q7" s="53" t="s">
        <v>23</v>
      </c>
      <c r="R7" s="37"/>
      <c r="S7" s="52" t="s">
        <v>2</v>
      </c>
      <c r="T7" s="53" t="s">
        <v>169</v>
      </c>
      <c r="U7" s="37"/>
      <c r="V7" s="52" t="s">
        <v>2</v>
      </c>
      <c r="W7" s="52" t="s">
        <v>41</v>
      </c>
    </row>
    <row r="8" spans="1:23">
      <c r="A8" s="52" t="s">
        <v>45</v>
      </c>
      <c r="C8" s="52" t="s">
        <v>0</v>
      </c>
      <c r="D8" s="52" t="s">
        <v>46</v>
      </c>
      <c r="E8" s="52" t="s">
        <v>41</v>
      </c>
      <c r="F8" s="53" t="s">
        <v>48</v>
      </c>
      <c r="G8" s="38"/>
      <c r="H8" s="52" t="s">
        <v>2</v>
      </c>
      <c r="I8" s="53" t="s">
        <v>48</v>
      </c>
      <c r="J8" s="53" t="s">
        <v>45</v>
      </c>
      <c r="K8" s="38"/>
      <c r="L8" s="52" t="s">
        <v>41</v>
      </c>
      <c r="M8" s="53" t="s">
        <v>48</v>
      </c>
      <c r="N8" s="53" t="s">
        <v>45</v>
      </c>
      <c r="O8" s="38"/>
      <c r="P8" s="52" t="s">
        <v>1</v>
      </c>
      <c r="Q8" s="53" t="s">
        <v>48</v>
      </c>
      <c r="R8" s="38"/>
      <c r="S8" s="52" t="s">
        <v>46</v>
      </c>
      <c r="T8" s="53" t="s">
        <v>48</v>
      </c>
      <c r="U8" s="38"/>
      <c r="V8" s="38"/>
      <c r="W8" s="38"/>
    </row>
    <row r="9" spans="1:23">
      <c r="A9" s="53" t="s">
        <v>140</v>
      </c>
      <c r="C9" s="52" t="s">
        <v>3</v>
      </c>
      <c r="D9" s="52" t="s">
        <v>168</v>
      </c>
      <c r="E9" s="52" t="s">
        <v>177</v>
      </c>
      <c r="F9" s="53" t="s">
        <v>45</v>
      </c>
      <c r="G9" s="38"/>
      <c r="H9" s="52" t="s">
        <v>2</v>
      </c>
      <c r="I9" s="53" t="s">
        <v>48</v>
      </c>
      <c r="J9" s="53" t="s">
        <v>45</v>
      </c>
      <c r="K9" s="37"/>
      <c r="L9" s="52" t="s">
        <v>41</v>
      </c>
      <c r="M9" s="53" t="s">
        <v>48</v>
      </c>
      <c r="N9" s="53" t="s">
        <v>45</v>
      </c>
      <c r="O9" s="38"/>
      <c r="P9" s="52" t="s">
        <v>3</v>
      </c>
      <c r="Q9" s="53" t="s">
        <v>45</v>
      </c>
      <c r="R9" s="37"/>
      <c r="S9" s="52" t="s">
        <v>168</v>
      </c>
      <c r="T9" s="53" t="s">
        <v>45</v>
      </c>
      <c r="U9" s="37"/>
      <c r="V9" s="38"/>
      <c r="W9" s="38"/>
    </row>
    <row r="10" spans="1:23">
      <c r="A10" s="114" t="s">
        <v>24</v>
      </c>
      <c r="C10" s="53" t="s">
        <v>23</v>
      </c>
      <c r="D10" s="53" t="s">
        <v>169</v>
      </c>
      <c r="E10" s="53" t="s">
        <v>170</v>
      </c>
      <c r="F10" s="38"/>
      <c r="G10" s="53" t="s">
        <v>23</v>
      </c>
      <c r="H10" s="53" t="s">
        <v>16</v>
      </c>
      <c r="I10" s="53" t="s">
        <v>27</v>
      </c>
      <c r="J10" s="37"/>
      <c r="K10" s="52" t="s">
        <v>2</v>
      </c>
      <c r="L10" s="53" t="s">
        <v>23</v>
      </c>
      <c r="M10" s="37"/>
      <c r="N10" s="52" t="s">
        <v>41</v>
      </c>
      <c r="O10" s="53" t="s">
        <v>23</v>
      </c>
      <c r="P10" s="37"/>
      <c r="Q10" s="52" t="s">
        <v>0</v>
      </c>
      <c r="R10" s="53" t="s">
        <v>23</v>
      </c>
      <c r="S10" s="38"/>
      <c r="T10" s="38"/>
      <c r="U10" s="38"/>
      <c r="V10" s="38"/>
      <c r="W10" s="38"/>
    </row>
    <row r="11" spans="1:23">
      <c r="A11" s="53" t="s">
        <v>152</v>
      </c>
      <c r="C11" s="53" t="s">
        <v>47</v>
      </c>
      <c r="D11" s="53" t="s">
        <v>16</v>
      </c>
      <c r="E11" s="53" t="s">
        <v>170</v>
      </c>
      <c r="F11" s="37"/>
      <c r="G11" s="53" t="s">
        <v>169</v>
      </c>
      <c r="H11" s="53" t="s">
        <v>27</v>
      </c>
      <c r="I11" s="53" t="s">
        <v>47</v>
      </c>
      <c r="J11" s="37"/>
      <c r="K11" s="52" t="s">
        <v>0</v>
      </c>
      <c r="L11" s="53" t="s">
        <v>47</v>
      </c>
      <c r="M11" s="37"/>
      <c r="N11" s="52" t="s">
        <v>3</v>
      </c>
      <c r="O11" s="53" t="s">
        <v>47</v>
      </c>
      <c r="P11" s="38"/>
      <c r="Q11" s="52" t="s">
        <v>168</v>
      </c>
      <c r="R11" s="53" t="s">
        <v>47</v>
      </c>
      <c r="S11" s="38"/>
      <c r="T11" s="38"/>
      <c r="U11" s="38"/>
      <c r="V11" s="38"/>
      <c r="W11" s="38"/>
    </row>
    <row r="12" spans="1:23">
      <c r="A12" s="114" t="s">
        <v>83</v>
      </c>
      <c r="C12" s="53" t="s">
        <v>23</v>
      </c>
      <c r="D12" s="53" t="s">
        <v>169</v>
      </c>
      <c r="E12" s="53" t="s">
        <v>170</v>
      </c>
      <c r="F12" s="37"/>
      <c r="G12" s="53" t="s">
        <v>169</v>
      </c>
      <c r="H12" s="53" t="s">
        <v>27</v>
      </c>
      <c r="I12" s="53" t="s">
        <v>47</v>
      </c>
      <c r="J12" s="37"/>
      <c r="K12" s="52" t="s">
        <v>2</v>
      </c>
      <c r="L12" s="53" t="s">
        <v>169</v>
      </c>
      <c r="M12" s="37"/>
      <c r="N12" s="52" t="s">
        <v>41</v>
      </c>
      <c r="O12" s="53" t="s">
        <v>169</v>
      </c>
      <c r="P12" s="37"/>
      <c r="Q12" s="52" t="s">
        <v>46</v>
      </c>
      <c r="R12" s="53" t="s">
        <v>169</v>
      </c>
      <c r="S12" s="38"/>
      <c r="T12" s="38"/>
      <c r="U12" s="38"/>
      <c r="V12" s="38"/>
      <c r="W12" s="38"/>
    </row>
    <row r="13" spans="1:23">
      <c r="A13" s="53" t="s">
        <v>783</v>
      </c>
      <c r="C13" s="53" t="s">
        <v>47</v>
      </c>
      <c r="D13" s="53" t="s">
        <v>16</v>
      </c>
      <c r="E13" s="53" t="s">
        <v>170</v>
      </c>
      <c r="F13" s="38"/>
      <c r="G13" s="53" t="s">
        <v>23</v>
      </c>
      <c r="H13" s="53" t="s">
        <v>16</v>
      </c>
      <c r="I13" s="53" t="s">
        <v>27</v>
      </c>
      <c r="J13" s="37"/>
      <c r="K13" s="52" t="s">
        <v>46</v>
      </c>
      <c r="L13" s="53" t="s">
        <v>16</v>
      </c>
      <c r="M13" s="37"/>
      <c r="N13" s="52" t="s">
        <v>168</v>
      </c>
      <c r="O13" s="53" t="s">
        <v>16</v>
      </c>
      <c r="P13" s="37"/>
      <c r="Q13" s="53" t="s">
        <v>16</v>
      </c>
      <c r="R13" s="53" t="s">
        <v>27</v>
      </c>
      <c r="S13" s="38"/>
      <c r="T13" s="38"/>
      <c r="U13" s="38"/>
      <c r="V13" s="38"/>
      <c r="W13" s="38"/>
    </row>
    <row r="14" spans="1:23">
      <c r="A14" s="53" t="s">
        <v>784</v>
      </c>
      <c r="C14" s="53" t="s">
        <v>169</v>
      </c>
      <c r="D14" s="53" t="s">
        <v>27</v>
      </c>
      <c r="E14" s="53" t="s">
        <v>47</v>
      </c>
      <c r="F14" s="38"/>
      <c r="G14" s="53" t="s">
        <v>23</v>
      </c>
      <c r="H14" s="53" t="s">
        <v>16</v>
      </c>
      <c r="I14" s="53" t="s">
        <v>27</v>
      </c>
      <c r="J14" s="37"/>
      <c r="K14" s="52" t="s">
        <v>0</v>
      </c>
      <c r="L14" s="53" t="s">
        <v>27</v>
      </c>
      <c r="M14" s="37"/>
      <c r="N14" s="52" t="s">
        <v>3</v>
      </c>
      <c r="O14" s="53" t="s">
        <v>27</v>
      </c>
      <c r="P14" s="37"/>
      <c r="Q14" s="53" t="s">
        <v>16</v>
      </c>
      <c r="R14" s="53" t="s">
        <v>27</v>
      </c>
      <c r="S14" s="38"/>
      <c r="T14" s="38"/>
      <c r="U14" s="38"/>
      <c r="V14" s="38"/>
      <c r="W14" s="38"/>
    </row>
    <row r="15" spans="1:23">
      <c r="A15" s="53" t="s">
        <v>785</v>
      </c>
      <c r="C15" s="53" t="s">
        <v>23</v>
      </c>
      <c r="D15" s="53" t="s">
        <v>169</v>
      </c>
      <c r="E15" s="53" t="s">
        <v>170</v>
      </c>
      <c r="F15" s="37"/>
      <c r="G15" s="53" t="s">
        <v>47</v>
      </c>
      <c r="H15" s="53" t="s">
        <v>16</v>
      </c>
      <c r="I15" s="53" t="s">
        <v>170</v>
      </c>
      <c r="J15" s="37"/>
      <c r="K15" s="52" t="s">
        <v>46</v>
      </c>
      <c r="L15" s="53" t="s">
        <v>170</v>
      </c>
      <c r="M15" s="37"/>
      <c r="N15" s="52" t="s">
        <v>168</v>
      </c>
      <c r="O15" s="53" t="s">
        <v>170</v>
      </c>
      <c r="P15" s="37"/>
      <c r="Q15" s="52" t="s">
        <v>3</v>
      </c>
      <c r="R15" s="53" t="s">
        <v>170</v>
      </c>
      <c r="S15" s="38"/>
      <c r="T15" s="38"/>
      <c r="U15" s="38"/>
      <c r="V15" s="38"/>
      <c r="W15" s="38"/>
    </row>
    <row r="16" spans="1:23">
      <c r="A16" s="46" t="s">
        <v>147</v>
      </c>
      <c r="C16" s="46" t="s">
        <v>55</v>
      </c>
      <c r="D16" s="47" t="s">
        <v>160</v>
      </c>
      <c r="E16" s="46" t="s">
        <v>53</v>
      </c>
      <c r="F16" s="38"/>
      <c r="G16" s="46" t="s">
        <v>53</v>
      </c>
      <c r="H16" s="46" t="s">
        <v>54</v>
      </c>
      <c r="I16" s="37"/>
      <c r="J16" s="46" t="s">
        <v>53</v>
      </c>
      <c r="K16" s="46" t="s">
        <v>55</v>
      </c>
      <c r="L16" s="37"/>
      <c r="M16" s="46" t="s">
        <v>53</v>
      </c>
      <c r="N16" s="46" t="s">
        <v>171</v>
      </c>
    </row>
    <row r="17" spans="1:23">
      <c r="A17" s="46" t="s">
        <v>148</v>
      </c>
      <c r="C17" s="47" t="s">
        <v>157</v>
      </c>
      <c r="D17" s="46" t="s">
        <v>54</v>
      </c>
      <c r="E17" s="47" t="s">
        <v>160</v>
      </c>
      <c r="F17" s="38"/>
      <c r="G17" s="46" t="s">
        <v>53</v>
      </c>
      <c r="H17" s="46" t="s">
        <v>54</v>
      </c>
      <c r="I17" s="38"/>
      <c r="J17" s="46" t="s">
        <v>54</v>
      </c>
      <c r="K17" s="46" t="s">
        <v>171</v>
      </c>
      <c r="L17" s="38"/>
      <c r="M17" s="46" t="s">
        <v>54</v>
      </c>
      <c r="N17" s="47" t="s">
        <v>157</v>
      </c>
    </row>
    <row r="18" spans="1:23">
      <c r="A18" s="46" t="s">
        <v>149</v>
      </c>
      <c r="C18" s="46" t="s">
        <v>55</v>
      </c>
      <c r="D18" s="47" t="s">
        <v>160</v>
      </c>
      <c r="E18" s="46" t="s">
        <v>53</v>
      </c>
      <c r="F18" s="37"/>
      <c r="G18" s="46" t="s">
        <v>55</v>
      </c>
      <c r="H18" s="46" t="s">
        <v>171</v>
      </c>
      <c r="I18" s="37"/>
      <c r="J18" s="46" t="s">
        <v>55</v>
      </c>
      <c r="K18" s="47" t="s">
        <v>157</v>
      </c>
      <c r="L18" s="38"/>
      <c r="M18" s="46" t="s">
        <v>53</v>
      </c>
      <c r="N18" s="46" t="s">
        <v>55</v>
      </c>
    </row>
    <row r="19" spans="1:23">
      <c r="A19" s="46" t="s">
        <v>82</v>
      </c>
      <c r="C19" s="46" t="s">
        <v>149</v>
      </c>
      <c r="D19" s="46" t="s">
        <v>171</v>
      </c>
      <c r="E19" s="37"/>
      <c r="F19" s="46" t="s">
        <v>54</v>
      </c>
      <c r="G19" s="46" t="s">
        <v>171</v>
      </c>
      <c r="H19" s="37"/>
      <c r="I19" s="46" t="s">
        <v>171</v>
      </c>
      <c r="J19" s="47" t="s">
        <v>160</v>
      </c>
      <c r="K19" s="37"/>
      <c r="L19" s="46" t="s">
        <v>53</v>
      </c>
      <c r="M19" s="46" t="s">
        <v>171</v>
      </c>
    </row>
    <row r="20" spans="1:23">
      <c r="A20" s="47" t="s">
        <v>158</v>
      </c>
      <c r="C20" s="47" t="s">
        <v>157</v>
      </c>
      <c r="D20" s="46" t="s">
        <v>54</v>
      </c>
      <c r="E20" s="47" t="s">
        <v>160</v>
      </c>
      <c r="F20" s="38"/>
      <c r="G20" s="47" t="s">
        <v>157</v>
      </c>
      <c r="H20" s="47" t="s">
        <v>160</v>
      </c>
      <c r="I20" s="38"/>
      <c r="J20" s="46" t="s">
        <v>55</v>
      </c>
      <c r="K20" s="47" t="s">
        <v>157</v>
      </c>
      <c r="L20" s="38"/>
      <c r="M20" s="46" t="s">
        <v>54</v>
      </c>
      <c r="N20" s="47" t="s">
        <v>157</v>
      </c>
    </row>
    <row r="21" spans="1:23">
      <c r="A21" s="47" t="s">
        <v>161</v>
      </c>
      <c r="C21" s="46" t="s">
        <v>55</v>
      </c>
      <c r="D21" s="47" t="s">
        <v>160</v>
      </c>
      <c r="E21" s="46" t="s">
        <v>53</v>
      </c>
      <c r="F21" s="37"/>
      <c r="G21" s="47" t="s">
        <v>157</v>
      </c>
      <c r="H21" s="46" t="s">
        <v>54</v>
      </c>
      <c r="I21" s="47" t="s">
        <v>160</v>
      </c>
      <c r="J21" s="37"/>
      <c r="K21" s="47" t="s">
        <v>157</v>
      </c>
      <c r="L21" s="47" t="s">
        <v>160</v>
      </c>
      <c r="N21" s="46" t="s">
        <v>171</v>
      </c>
      <c r="O21" s="47" t="s">
        <v>160</v>
      </c>
    </row>
    <row r="22" spans="1:23">
      <c r="A22" s="118" t="s">
        <v>30</v>
      </c>
      <c r="B22" s="41"/>
      <c r="C22" s="41" t="str">
        <f>IFERROR(VLOOKUP(C2,中介表!$A$1:$C$21,2,FALSE),"")</f>
        <v>二郎神</v>
      </c>
      <c r="D22" s="41" t="str">
        <f>IFERROR(VLOOKUP(D2,中介表!$A$1:$C$21,2,FALSE),"")</f>
        <v>王母娘娘</v>
      </c>
      <c r="E22" s="41" t="str">
        <f>IFERROR(VLOOKUP(E2,中介表!$A$1:$C$21,2,FALSE),"")</f>
        <v>黑无常</v>
      </c>
      <c r="F22" s="41" t="str">
        <f>IFERROR(VLOOKUP(F2,中介表!$A$1:$C$21,2,FALSE),"")</f>
        <v>九天玄女</v>
      </c>
      <c r="G22" s="41" t="str">
        <f>IFERROR(VLOOKUP(G2,中介表!$A$1:$C$21,2,FALSE),"")</f>
        <v/>
      </c>
      <c r="H22" s="41" t="str">
        <f>IFERROR(VLOOKUP(H2,中介表!$A$1:$C$21,2,FALSE),"")</f>
        <v>二郎神</v>
      </c>
      <c r="I22" s="41" t="str">
        <f>IFERROR(VLOOKUP(I2,中介表!$A$1:$C$21,2,FALSE),"")</f>
        <v>王母娘娘</v>
      </c>
      <c r="J22" s="41" t="str">
        <f>IFERROR(VLOOKUP(J2,中介表!$A$1:$C$21,2,FALSE),"")</f>
        <v>托塔天王</v>
      </c>
      <c r="K22" s="41" t="str">
        <f>IFERROR(VLOOKUP(K2,中介表!$A$1:$C$21,2,FALSE),"")</f>
        <v/>
      </c>
      <c r="L22" s="41" t="str">
        <f>IFERROR(VLOOKUP(L2,中介表!$A$1:$C$21,2,FALSE),"")</f>
        <v>二郎神</v>
      </c>
      <c r="M22" s="41" t="str">
        <f>IFERROR(VLOOKUP(M2,中介表!$A$1:$C$21,2,FALSE),"")</f>
        <v>九天玄女</v>
      </c>
      <c r="N22" s="41" t="str">
        <f>IFERROR(VLOOKUP(N2,中介表!$A$1:$C$21,2,FALSE),"")</f>
        <v/>
      </c>
      <c r="O22" s="41" t="str">
        <f>IFERROR(VLOOKUP(O2,中介表!$A$1:$C$21,2,FALSE),"")</f>
        <v>二郎神</v>
      </c>
      <c r="P22" s="41" t="str">
        <f>IFERROR(VLOOKUP(P2,中介表!$A$1:$C$21,2,FALSE),"")</f>
        <v>玉皇大帝</v>
      </c>
      <c r="Q22" s="41" t="str">
        <f>IFERROR(VLOOKUP(Q2,中介表!$A$1:$C$21,2,FALSE),"")</f>
        <v/>
      </c>
      <c r="R22" s="41" t="str">
        <f>IFERROR(VLOOKUP(R2,中介表!$A$1:$C$21,2,FALSE),"")</f>
        <v>二郎神</v>
      </c>
      <c r="S22" s="41" t="str">
        <f>IFERROR(VLOOKUP(S2,中介表!$A$1:$C$21,2,FALSE),"")</f>
        <v>小白龙</v>
      </c>
      <c r="T22" s="41" t="str">
        <f>IFERROR(VLOOKUP(T2,中介表!$A$1:$C$21,2,FALSE),"")</f>
        <v/>
      </c>
      <c r="U22" s="41" t="str">
        <f>IFERROR(VLOOKUP(U2,中介表!$A$1:$C$21,2,FALSE),"")</f>
        <v>二郎神</v>
      </c>
      <c r="V22" s="41" t="str">
        <f>IFERROR(VLOOKUP(V2,中介表!$A$1:$C$21,2,FALSE),"")</f>
        <v>赤脚大仙</v>
      </c>
      <c r="W22" s="41" t="str">
        <f>IFERROR(VLOOKUP(W2,中介表!$A$1:$C$21,2,FALSE),"")</f>
        <v/>
      </c>
    </row>
    <row r="23" spans="1:23">
      <c r="A23" s="118" t="s">
        <v>14</v>
      </c>
      <c r="B23" s="41"/>
      <c r="C23" s="41" t="str">
        <f>IFERROR(VLOOKUP(C3,中介表!$A$1:$C$21,2,FALSE),"")</f>
        <v>二郎神</v>
      </c>
      <c r="D23" s="41" t="str">
        <f>IFERROR(VLOOKUP(D3,中介表!$A$1:$C$21,2,FALSE),"")</f>
        <v>王母娘娘</v>
      </c>
      <c r="E23" s="41" t="str">
        <f>IFERROR(VLOOKUP(E3,中介表!$A$1:$C$21,2,FALSE),"")</f>
        <v>黑无常</v>
      </c>
      <c r="F23" s="41" t="str">
        <f>IFERROR(VLOOKUP(F3,中介表!$A$1:$C$21,2,FALSE),"")</f>
        <v>九天玄女</v>
      </c>
      <c r="G23" s="41" t="str">
        <f>IFERROR(VLOOKUP(G3,中介表!$A$1:$C$21,2,FALSE),"")</f>
        <v/>
      </c>
      <c r="H23" s="41" t="str">
        <f>IFERROR(VLOOKUP(H3,中介表!$A$1:$C$21,2,FALSE),"")</f>
        <v>二郎神</v>
      </c>
      <c r="I23" s="41" t="str">
        <f>IFERROR(VLOOKUP(I3,中介表!$A$1:$C$21,2,FALSE),"")</f>
        <v>王母娘娘</v>
      </c>
      <c r="J23" s="41" t="str">
        <f>IFERROR(VLOOKUP(J3,中介表!$A$1:$C$21,2,FALSE),"")</f>
        <v>托塔天王</v>
      </c>
      <c r="K23" s="41" t="str">
        <f>IFERROR(VLOOKUP(K3,中介表!$A$1:$C$21,2,FALSE),"")</f>
        <v/>
      </c>
      <c r="L23" s="41" t="str">
        <f>IFERROR(VLOOKUP(L3,中介表!$A$1:$C$21,2,FALSE),"")</f>
        <v>王母娘娘</v>
      </c>
      <c r="M23" s="41" t="str">
        <f>IFERROR(VLOOKUP(M3,中介表!$A$1:$C$21,2,FALSE),"")</f>
        <v>九天玄女</v>
      </c>
      <c r="N23" s="41" t="str">
        <f>IFERROR(VLOOKUP(N3,中介表!$A$1:$C$21,2,FALSE),"")</f>
        <v/>
      </c>
      <c r="O23" s="41" t="str">
        <f>IFERROR(VLOOKUP(O3,中介表!$A$1:$C$21,2,FALSE),"")</f>
        <v>王母娘娘</v>
      </c>
      <c r="P23" s="41" t="str">
        <f>IFERROR(VLOOKUP(P3,中介表!$A$1:$C$21,2,FALSE),"")</f>
        <v>阎罗王</v>
      </c>
      <c r="Q23" s="41" t="str">
        <f>IFERROR(VLOOKUP(Q3,中介表!$A$1:$C$21,2,FALSE),"")</f>
        <v/>
      </c>
      <c r="R23" s="41" t="str">
        <f>IFERROR(VLOOKUP(R3,中介表!$A$1:$C$21,2,FALSE),"")</f>
        <v>王母娘娘</v>
      </c>
      <c r="S23" s="41" t="str">
        <f>IFERROR(VLOOKUP(S3,中介表!$A$1:$C$21,2,FALSE),"")</f>
        <v>太白金星</v>
      </c>
      <c r="T23" s="41" t="str">
        <f>IFERROR(VLOOKUP(T3,中介表!$A$1:$C$21,2,FALSE),"")</f>
        <v/>
      </c>
      <c r="U23" s="41" t="str">
        <f>IFERROR(VLOOKUP(U3,中介表!$A$1:$C$21,2,FALSE),"")</f>
        <v>王母娘娘</v>
      </c>
      <c r="V23" s="41" t="str">
        <f>IFERROR(VLOOKUP(V3,中介表!$A$1:$C$21,2,FALSE),"")</f>
        <v>东海龙王</v>
      </c>
      <c r="W23" s="41" t="str">
        <f>IFERROR(VLOOKUP(W3,中介表!$A$1:$C$21,2,FALSE),"")</f>
        <v/>
      </c>
    </row>
    <row r="24" spans="1:23">
      <c r="A24" s="8" t="s">
        <v>31</v>
      </c>
      <c r="B24" s="41"/>
      <c r="C24" s="41" t="str">
        <f>IFERROR(VLOOKUP(C4,中介表!$A$1:$C$21,2,FALSE),"")</f>
        <v>哪吒</v>
      </c>
      <c r="D24" s="41" t="str">
        <f>IFERROR(VLOOKUP(D4,中介表!$A$1:$C$21,2,FALSE),"")</f>
        <v>白无常</v>
      </c>
      <c r="E24" s="41" t="str">
        <f>IFERROR(VLOOKUP(E4,中介表!$A$1:$C$21,2,FALSE),"")</f>
        <v>托塔天王</v>
      </c>
      <c r="F24" s="41" t="str">
        <f>IFERROR(VLOOKUP(F4,中介表!$A$1:$C$21,2,FALSE),"")</f>
        <v>嫦娥</v>
      </c>
      <c r="G24" s="41" t="str">
        <f>IFERROR(VLOOKUP(G4,中介表!$A$1:$C$21,2,FALSE),"")</f>
        <v/>
      </c>
      <c r="H24" s="41" t="str">
        <f>IFERROR(VLOOKUP(H4,中介表!$A$1:$C$21,2,FALSE),"")</f>
        <v>哪吒</v>
      </c>
      <c r="I24" s="41" t="str">
        <f>IFERROR(VLOOKUP(I4,中介表!$A$1:$C$21,2,FALSE),"")</f>
        <v>白无常</v>
      </c>
      <c r="J24" s="41" t="str">
        <f>IFERROR(VLOOKUP(J4,中介表!$A$1:$C$21,2,FALSE),"")</f>
        <v>黑无常</v>
      </c>
      <c r="K24" s="41" t="str">
        <f>IFERROR(VLOOKUP(K4,中介表!$A$1:$C$21,2,FALSE),"")</f>
        <v/>
      </c>
      <c r="L24" s="41" t="str">
        <f>IFERROR(VLOOKUP(L4,中介表!$A$1:$C$21,2,FALSE),"")</f>
        <v>哪吒</v>
      </c>
      <c r="M24" s="41" t="str">
        <f>IFERROR(VLOOKUP(M4,中介表!$A$1:$C$21,2,FALSE),"")</f>
        <v>嫦娥</v>
      </c>
      <c r="N24" s="41" t="str">
        <f>IFERROR(VLOOKUP(N4,中介表!$A$1:$C$21,2,FALSE),"")</f>
        <v/>
      </c>
      <c r="O24" s="41" t="str">
        <f>IFERROR(VLOOKUP(O4,中介表!$A$1:$C$21,2,FALSE),"")</f>
        <v>哪吒</v>
      </c>
      <c r="P24" s="41" t="str">
        <f>IFERROR(VLOOKUP(P4,中介表!$A$1:$C$21,2,FALSE),"")</f>
        <v>玉皇大帝</v>
      </c>
      <c r="Q24" s="41" t="str">
        <f>IFERROR(VLOOKUP(Q4,中介表!$A$1:$C$21,2,FALSE),"")</f>
        <v/>
      </c>
      <c r="R24" s="41" t="str">
        <f>IFERROR(VLOOKUP(R4,中介表!$A$1:$C$21,2,FALSE),"")</f>
        <v>哪吒</v>
      </c>
      <c r="S24" s="41" t="str">
        <f>IFERROR(VLOOKUP(S4,中介表!$A$1:$C$21,2,FALSE),"")</f>
        <v>小白龙</v>
      </c>
      <c r="T24" s="41" t="str">
        <f>IFERROR(VLOOKUP(T4,中介表!$A$1:$C$21,2,FALSE),"")</f>
        <v/>
      </c>
      <c r="U24" s="41" t="str">
        <f>IFERROR(VLOOKUP(U4,中介表!$A$1:$C$21,2,FALSE),"")</f>
        <v>哪吒</v>
      </c>
      <c r="V24" s="41" t="str">
        <f>IFERROR(VLOOKUP(V4,中介表!$A$1:$C$21,2,FALSE),"")</f>
        <v>太白金星</v>
      </c>
      <c r="W24" s="41" t="str">
        <f>IFERROR(VLOOKUP(W4,中介表!$A$1:$C$21,2,FALSE),"")</f>
        <v/>
      </c>
    </row>
    <row r="25" spans="1:23">
      <c r="A25" s="8" t="s">
        <v>38</v>
      </c>
      <c r="B25" s="41"/>
      <c r="C25" s="41" t="str">
        <f>IFERROR(VLOOKUP(C5,中介表!$A$1:$C$21,2,FALSE),"")</f>
        <v>哪吒</v>
      </c>
      <c r="D25" s="41" t="str">
        <f>IFERROR(VLOOKUP(D5,中介表!$A$1:$C$21,2,FALSE),"")</f>
        <v>白无常</v>
      </c>
      <c r="E25" s="41" t="str">
        <f>IFERROR(VLOOKUP(E5,中介表!$A$1:$C$21,2,FALSE),"")</f>
        <v>托塔天王</v>
      </c>
      <c r="F25" s="41" t="str">
        <f>IFERROR(VLOOKUP(F5,中介表!$A$1:$C$21,2,FALSE),"")</f>
        <v>嫦娥</v>
      </c>
      <c r="G25" s="41" t="str">
        <f>IFERROR(VLOOKUP(G5,中介表!$A$1:$C$21,2,FALSE),"")</f>
        <v/>
      </c>
      <c r="H25" s="41" t="str">
        <f>IFERROR(VLOOKUP(H5,中介表!$A$1:$C$21,2,FALSE),"")</f>
        <v>哪吒</v>
      </c>
      <c r="I25" s="41" t="str">
        <f>IFERROR(VLOOKUP(I5,中介表!$A$1:$C$21,2,FALSE),"")</f>
        <v>白无常</v>
      </c>
      <c r="J25" s="41" t="str">
        <f>IFERROR(VLOOKUP(J5,中介表!$A$1:$C$21,2,FALSE),"")</f>
        <v>黑无常</v>
      </c>
      <c r="K25" s="41" t="str">
        <f>IFERROR(VLOOKUP(K5,中介表!$A$1:$C$21,2,FALSE),"")</f>
        <v/>
      </c>
      <c r="L25" s="41" t="str">
        <f>IFERROR(VLOOKUP(L5,中介表!$A$1:$C$21,2,FALSE),"")</f>
        <v>白无常</v>
      </c>
      <c r="M25" s="41" t="str">
        <f>IFERROR(VLOOKUP(M5,中介表!$A$1:$C$21,2,FALSE),"")</f>
        <v>嫦娥</v>
      </c>
      <c r="N25" s="41" t="str">
        <f>IFERROR(VLOOKUP(N5,中介表!$A$1:$C$21,2,FALSE),"")</f>
        <v/>
      </c>
      <c r="O25" s="41" t="str">
        <f>IFERROR(VLOOKUP(O5,中介表!$A$1:$C$21,2,FALSE),"")</f>
        <v>白无常</v>
      </c>
      <c r="P25" s="41" t="str">
        <f>IFERROR(VLOOKUP(P5,中介表!$A$1:$C$21,2,FALSE),"")</f>
        <v>阎罗王</v>
      </c>
      <c r="Q25" s="41" t="str">
        <f>IFERROR(VLOOKUP(Q5,中介表!$A$1:$C$21,2,FALSE),"")</f>
        <v/>
      </c>
      <c r="R25" s="41" t="str">
        <f>IFERROR(VLOOKUP(R5,中介表!$A$1:$C$21,2,FALSE),"")</f>
        <v>白无常</v>
      </c>
      <c r="S25" s="41" t="str">
        <f>IFERROR(VLOOKUP(S5,中介表!$A$1:$C$21,2,FALSE),"")</f>
        <v>太白金星</v>
      </c>
      <c r="T25" s="41" t="str">
        <f>IFERROR(VLOOKUP(T5,中介表!$A$1:$C$21,2,FALSE),"")</f>
        <v/>
      </c>
      <c r="U25" s="41" t="str">
        <f>IFERROR(VLOOKUP(U5,中介表!$A$1:$C$21,2,FALSE),"")</f>
        <v>白无常</v>
      </c>
      <c r="V25" s="41" t="str">
        <f>IFERROR(VLOOKUP(V5,中介表!$A$1:$C$21,2,FALSE),"")</f>
        <v>玉皇大帝</v>
      </c>
      <c r="W25" s="41" t="str">
        <f>IFERROR(VLOOKUP(W5,中介表!$A$1:$C$21,2,FALSE),"")</f>
        <v/>
      </c>
    </row>
    <row r="26" spans="1:23">
      <c r="A26" s="111" t="s">
        <v>37</v>
      </c>
      <c r="B26" s="41"/>
      <c r="C26" s="41" t="str">
        <f>IFERROR(VLOOKUP(C6,中介表!$A$1:$C$21,2,FALSE),"")</f>
        <v>二郎神</v>
      </c>
      <c r="D26" s="41" t="str">
        <f>IFERROR(VLOOKUP(D6,中介表!$A$1:$C$21,2,FALSE),"")</f>
        <v>王母娘娘</v>
      </c>
      <c r="E26" s="41" t="str">
        <f>IFERROR(VLOOKUP(E6,中介表!$A$1:$C$21,2,FALSE),"")</f>
        <v>黑无常</v>
      </c>
      <c r="F26" s="41" t="str">
        <f>IFERROR(VLOOKUP(F6,中介表!$A$1:$C$21,2,FALSE),"")</f>
        <v>九天玄女</v>
      </c>
      <c r="G26" s="41" t="str">
        <f>IFERROR(VLOOKUP(G6,中介表!$A$1:$C$21,2,FALSE),"")</f>
        <v/>
      </c>
      <c r="H26" s="41" t="str">
        <f>IFERROR(VLOOKUP(H6,中介表!$A$1:$C$21,2,FALSE),"")</f>
        <v>哪吒</v>
      </c>
      <c r="I26" s="41" t="str">
        <f>IFERROR(VLOOKUP(I6,中介表!$A$1:$C$21,2,FALSE),"")</f>
        <v>白无常</v>
      </c>
      <c r="J26" s="41" t="str">
        <f>IFERROR(VLOOKUP(J6,中介表!$A$1:$C$21,2,FALSE),"")</f>
        <v>黑无常</v>
      </c>
      <c r="K26" s="41" t="str">
        <f>IFERROR(VLOOKUP(K6,中介表!$A$1:$C$21,2,FALSE),"")</f>
        <v/>
      </c>
      <c r="L26" s="41" t="str">
        <f>IFERROR(VLOOKUP(L6,中介表!$A$1:$C$21,2,FALSE),"")</f>
        <v>黑无常</v>
      </c>
      <c r="M26" s="41" t="str">
        <f>IFERROR(VLOOKUP(M6,中介表!$A$1:$C$21,2,FALSE),"")</f>
        <v>九天玄女</v>
      </c>
      <c r="N26" s="41" t="str">
        <f>IFERROR(VLOOKUP(N6,中介表!$A$1:$C$21,2,FALSE),"")</f>
        <v>嫦娥</v>
      </c>
      <c r="O26" s="41" t="str">
        <f>IFERROR(VLOOKUP(O6,中介表!$A$1:$C$21,2,FALSE),"")</f>
        <v/>
      </c>
      <c r="P26" s="41" t="str">
        <f>IFERROR(VLOOKUP(P6,中介表!$A$1:$C$21,2,FALSE),"")</f>
        <v>黑无常</v>
      </c>
      <c r="Q26" s="41" t="str">
        <f>IFERROR(VLOOKUP(Q6,中介表!$A$1:$C$21,2,FALSE),"")</f>
        <v>赤脚大仙</v>
      </c>
      <c r="R26" s="41" t="str">
        <f>IFERROR(VLOOKUP(R6,中介表!$A$1:$C$21,2,FALSE),"")</f>
        <v/>
      </c>
      <c r="S26" s="41" t="str">
        <f>IFERROR(VLOOKUP(S6,中介表!$A$1:$C$21,2,FALSE),"")</f>
        <v>黑无常</v>
      </c>
      <c r="T26" s="41" t="str">
        <f>IFERROR(VLOOKUP(T6,中介表!$A$1:$C$21,2,FALSE),"")</f>
        <v>东海龙王</v>
      </c>
      <c r="U26" s="41" t="str">
        <f>IFERROR(VLOOKUP(U6,中介表!$A$1:$C$21,2,FALSE),"")</f>
        <v/>
      </c>
      <c r="V26" s="41" t="str">
        <f>IFERROR(VLOOKUP(V6,中介表!$A$1:$C$21,2,FALSE),"")</f>
        <v>托塔天王</v>
      </c>
      <c r="W26" s="41" t="str">
        <f>IFERROR(VLOOKUP(W6,中介表!$A$1:$C$21,2,FALSE),"")</f>
        <v>黑无常</v>
      </c>
    </row>
    <row r="27" spans="1:23">
      <c r="A27" s="111" t="s">
        <v>34</v>
      </c>
      <c r="B27" s="41"/>
      <c r="C27" s="41" t="str">
        <f>IFERROR(VLOOKUP(C7,中介表!$A$1:$C$21,2,FALSE),"")</f>
        <v>哪吒</v>
      </c>
      <c r="D27" s="41" t="str">
        <f>IFERROR(VLOOKUP(D7,中介表!$A$1:$C$21,2,FALSE),"")</f>
        <v>白无常</v>
      </c>
      <c r="E27" s="41" t="str">
        <f>IFERROR(VLOOKUP(E7,中介表!$A$1:$C$21,2,FALSE),"")</f>
        <v>托塔天王</v>
      </c>
      <c r="F27" s="41" t="str">
        <f>IFERROR(VLOOKUP(F7,中介表!$A$1:$C$21,2,FALSE),"")</f>
        <v>嫦娥</v>
      </c>
      <c r="G27" s="41" t="str">
        <f>IFERROR(VLOOKUP(G7,中介表!$A$1:$C$21,2,FALSE),"")</f>
        <v/>
      </c>
      <c r="H27" s="41" t="str">
        <f>IFERROR(VLOOKUP(H7,中介表!$A$1:$C$21,2,FALSE),"")</f>
        <v>二郎神</v>
      </c>
      <c r="I27" s="41" t="str">
        <f>IFERROR(VLOOKUP(I7,中介表!$A$1:$C$21,2,FALSE),"")</f>
        <v>王母娘娘</v>
      </c>
      <c r="J27" s="41" t="str">
        <f>IFERROR(VLOOKUP(J7,中介表!$A$1:$C$21,2,FALSE),"")</f>
        <v>托塔天王</v>
      </c>
      <c r="K27" s="41" t="str">
        <f>IFERROR(VLOOKUP(K7,中介表!$A$1:$C$21,2,FALSE),"")</f>
        <v/>
      </c>
      <c r="L27" s="41" t="str">
        <f>IFERROR(VLOOKUP(L7,中介表!$A$1:$C$21,2,FALSE),"")</f>
        <v>托塔天王</v>
      </c>
      <c r="M27" s="41" t="str">
        <f>IFERROR(VLOOKUP(M7,中介表!$A$1:$C$21,2,FALSE),"")</f>
        <v>九天玄女</v>
      </c>
      <c r="N27" s="41" t="str">
        <f>IFERROR(VLOOKUP(N7,中介表!$A$1:$C$21,2,FALSE),"")</f>
        <v>嫦娥</v>
      </c>
      <c r="O27" s="41" t="str">
        <f>IFERROR(VLOOKUP(O7,中介表!$A$1:$C$21,2,FALSE),"")</f>
        <v/>
      </c>
      <c r="P27" s="41" t="str">
        <f>IFERROR(VLOOKUP(P7,中介表!$A$1:$C$21,2,FALSE),"")</f>
        <v>托塔天王</v>
      </c>
      <c r="Q27" s="41" t="str">
        <f>IFERROR(VLOOKUP(Q7,中介表!$A$1:$C$21,2,FALSE),"")</f>
        <v>赤脚大仙</v>
      </c>
      <c r="R27" s="41" t="str">
        <f>IFERROR(VLOOKUP(R7,中介表!$A$1:$C$21,2,FALSE),"")</f>
        <v/>
      </c>
      <c r="S27" s="41" t="str">
        <f>IFERROR(VLOOKUP(S7,中介表!$A$1:$C$21,2,FALSE),"")</f>
        <v>托塔天王</v>
      </c>
      <c r="T27" s="41" t="str">
        <f>IFERROR(VLOOKUP(T7,中介表!$A$1:$C$21,2,FALSE),"")</f>
        <v>东海龙王</v>
      </c>
      <c r="U27" s="41" t="str">
        <f>IFERROR(VLOOKUP(U7,中介表!$A$1:$C$21,2,FALSE),"")</f>
        <v/>
      </c>
      <c r="V27" s="41" t="str">
        <f>IFERROR(VLOOKUP(V7,中介表!$A$1:$C$21,2,FALSE),"")</f>
        <v>托塔天王</v>
      </c>
      <c r="W27" s="41" t="str">
        <f>IFERROR(VLOOKUP(W7,中介表!$A$1:$C$21,2,FALSE),"")</f>
        <v>黑无常</v>
      </c>
    </row>
    <row r="28" spans="1:23">
      <c r="A28" s="8" t="s">
        <v>7</v>
      </c>
      <c r="B28" s="41"/>
      <c r="C28" s="41" t="str">
        <f>IFERROR(VLOOKUP(C8,中介表!$A$1:$C$21,2,FALSE),"")</f>
        <v>二郎神</v>
      </c>
      <c r="D28" s="41" t="str">
        <f>IFERROR(VLOOKUP(D8,中介表!$A$1:$C$21,2,FALSE),"")</f>
        <v>王母娘娘</v>
      </c>
      <c r="E28" s="41" t="str">
        <f>IFERROR(VLOOKUP(E8,中介表!$A$1:$C$21,2,FALSE),"")</f>
        <v>黑无常</v>
      </c>
      <c r="F28" s="41" t="str">
        <f>IFERROR(VLOOKUP(F8,中介表!$A$1:$C$21,2,FALSE),"")</f>
        <v>九天玄女</v>
      </c>
      <c r="G28" s="41" t="str">
        <f>IFERROR(VLOOKUP(G8,中介表!$A$1:$C$21,2,FALSE),"")</f>
        <v/>
      </c>
      <c r="H28" s="41" t="str">
        <f>IFERROR(VLOOKUP(H8,中介表!$A$1:$C$21,2,FALSE),"")</f>
        <v>托塔天王</v>
      </c>
      <c r="I28" s="41" t="str">
        <f>IFERROR(VLOOKUP(I8,中介表!$A$1:$C$21,2,FALSE),"")</f>
        <v>九天玄女</v>
      </c>
      <c r="J28" s="41" t="str">
        <f>IFERROR(VLOOKUP(J8,中介表!$A$1:$C$21,2,FALSE),"")</f>
        <v>嫦娥</v>
      </c>
      <c r="K28" s="41" t="str">
        <f>IFERROR(VLOOKUP(K8,中介表!$A$1:$C$21,2,FALSE),"")</f>
        <v/>
      </c>
      <c r="L28" s="41" t="str">
        <f>IFERROR(VLOOKUP(L8,中介表!$A$1:$C$21,2,FALSE),"")</f>
        <v>黑无常</v>
      </c>
      <c r="M28" s="41" t="str">
        <f>IFERROR(VLOOKUP(M8,中介表!$A$1:$C$21,2,FALSE),"")</f>
        <v>九天玄女</v>
      </c>
      <c r="N28" s="41" t="str">
        <f>IFERROR(VLOOKUP(N8,中介表!$A$1:$C$21,2,FALSE),"")</f>
        <v>嫦娥</v>
      </c>
      <c r="O28" s="41" t="str">
        <f>IFERROR(VLOOKUP(O8,中介表!$A$1:$C$21,2,FALSE),"")</f>
        <v/>
      </c>
      <c r="P28" s="41" t="str">
        <f>IFERROR(VLOOKUP(P8,中介表!$A$1:$C$21,2,FALSE),"")</f>
        <v>二郎神</v>
      </c>
      <c r="Q28" s="41" t="str">
        <f>IFERROR(VLOOKUP(Q8,中介表!$A$1:$C$21,2,FALSE),"")</f>
        <v>九天玄女</v>
      </c>
      <c r="R28" s="41" t="str">
        <f>IFERROR(VLOOKUP(R8,中介表!$A$1:$C$21,2,FALSE),"")</f>
        <v/>
      </c>
      <c r="S28" s="41" t="str">
        <f>IFERROR(VLOOKUP(S8,中介表!$A$1:$C$21,2,FALSE),"")</f>
        <v>王母娘娘</v>
      </c>
      <c r="T28" s="41" t="str">
        <f>IFERROR(VLOOKUP(T8,中介表!$A$1:$C$21,2,FALSE),"")</f>
        <v>九天玄女</v>
      </c>
      <c r="U28" s="41" t="str">
        <f>IFERROR(VLOOKUP(U8,中介表!$A$1:$C$21,2,FALSE),"")</f>
        <v/>
      </c>
      <c r="V28" s="41" t="str">
        <f>IFERROR(VLOOKUP(V8,中介表!$A$1:$C$21,2,FALSE),"")</f>
        <v/>
      </c>
      <c r="W28" s="41" t="str">
        <f>IFERROR(VLOOKUP(W8,中介表!$A$1:$C$21,2,FALSE),"")</f>
        <v/>
      </c>
    </row>
    <row r="29" spans="1:23">
      <c r="A29" s="25" t="s">
        <v>72</v>
      </c>
      <c r="B29" s="41"/>
      <c r="C29" s="41" t="str">
        <f>IFERROR(VLOOKUP(C9,中介表!$A$1:$C$21,2,FALSE),"")</f>
        <v>哪吒</v>
      </c>
      <c r="D29" s="41" t="str">
        <f>IFERROR(VLOOKUP(D9,中介表!$A$1:$C$21,2,FALSE),"")</f>
        <v>白无常</v>
      </c>
      <c r="E29" s="41" t="str">
        <f>IFERROR(VLOOKUP(E9,中介表!$A$1:$C$21,2,FALSE),"")</f>
        <v>托塔天王</v>
      </c>
      <c r="F29" s="41" t="str">
        <f>IFERROR(VLOOKUP(F9,中介表!$A$1:$C$21,2,FALSE),"")</f>
        <v>嫦娥</v>
      </c>
      <c r="G29" s="41" t="str">
        <f>IFERROR(VLOOKUP(G9,中介表!$A$1:$C$21,2,FALSE),"")</f>
        <v/>
      </c>
      <c r="H29" s="41" t="str">
        <f>IFERROR(VLOOKUP(H9,中介表!$A$1:$C$21,2,FALSE),"")</f>
        <v>托塔天王</v>
      </c>
      <c r="I29" s="41" t="str">
        <f>IFERROR(VLOOKUP(I9,中介表!$A$1:$C$21,2,FALSE),"")</f>
        <v>九天玄女</v>
      </c>
      <c r="J29" s="41" t="str">
        <f>IFERROR(VLOOKUP(J9,中介表!$A$1:$C$21,2,FALSE),"")</f>
        <v>嫦娥</v>
      </c>
      <c r="K29" s="41" t="str">
        <f>IFERROR(VLOOKUP(K9,中介表!$A$1:$C$21,2,FALSE),"")</f>
        <v/>
      </c>
      <c r="L29" s="41" t="str">
        <f>IFERROR(VLOOKUP(L9,中介表!$A$1:$C$21,2,FALSE),"")</f>
        <v>黑无常</v>
      </c>
      <c r="M29" s="41" t="str">
        <f>IFERROR(VLOOKUP(M9,中介表!$A$1:$C$21,2,FALSE),"")</f>
        <v>九天玄女</v>
      </c>
      <c r="N29" s="41" t="str">
        <f>IFERROR(VLOOKUP(N9,中介表!$A$1:$C$21,2,FALSE),"")</f>
        <v>嫦娥</v>
      </c>
      <c r="O29" s="41" t="str">
        <f>IFERROR(VLOOKUP(O9,中介表!$A$1:$C$21,2,FALSE),"")</f>
        <v/>
      </c>
      <c r="P29" s="41" t="str">
        <f>IFERROR(VLOOKUP(P9,中介表!$A$1:$C$21,2,FALSE),"")</f>
        <v>哪吒</v>
      </c>
      <c r="Q29" s="41" t="str">
        <f>IFERROR(VLOOKUP(Q9,中介表!$A$1:$C$21,2,FALSE),"")</f>
        <v>嫦娥</v>
      </c>
      <c r="R29" s="41" t="str">
        <f>IFERROR(VLOOKUP(R9,中介表!$A$1:$C$21,2,FALSE),"")</f>
        <v/>
      </c>
      <c r="S29" s="41" t="str">
        <f>IFERROR(VLOOKUP(S9,中介表!$A$1:$C$21,2,FALSE),"")</f>
        <v>白无常</v>
      </c>
      <c r="T29" s="41" t="str">
        <f>IFERROR(VLOOKUP(T9,中介表!$A$1:$C$21,2,FALSE),"")</f>
        <v>嫦娥</v>
      </c>
      <c r="U29" s="41" t="str">
        <f>IFERROR(VLOOKUP(U9,中介表!$A$1:$C$21,2,FALSE),"")</f>
        <v/>
      </c>
      <c r="V29" s="41" t="str">
        <f>IFERROR(VLOOKUP(V9,中介表!$A$1:$C$21,2,FALSE),"")</f>
        <v/>
      </c>
      <c r="W29" s="41" t="str">
        <f>IFERROR(VLOOKUP(W9,中介表!$A$1:$C$21,2,FALSE),"")</f>
        <v/>
      </c>
    </row>
    <row r="30" spans="1:23">
      <c r="A30" s="115" t="s">
        <v>195</v>
      </c>
      <c r="B30" s="41"/>
      <c r="C30" s="41" t="str">
        <f>IFERROR(VLOOKUP(C10,中介表!$A$1:$C$21,2,FALSE),"")</f>
        <v>赤脚大仙</v>
      </c>
      <c r="D30" s="41" t="str">
        <f>IFERROR(VLOOKUP(D10,中介表!$A$1:$C$21,2,FALSE),"")</f>
        <v>东海龙王</v>
      </c>
      <c r="E30" s="41" t="str">
        <f>IFERROR(VLOOKUP(E10,中介表!$A$1:$C$21,2,FALSE),"")</f>
        <v>太白金星</v>
      </c>
      <c r="F30" s="41" t="str">
        <f>IFERROR(VLOOKUP(F10,中介表!$A$1:$C$21,2,FALSE),"")</f>
        <v/>
      </c>
      <c r="G30" s="41" t="str">
        <f>IFERROR(VLOOKUP(G10,中介表!$A$1:$C$21,2,FALSE),"")</f>
        <v>赤脚大仙</v>
      </c>
      <c r="H30" s="41" t="str">
        <f>IFERROR(VLOOKUP(H10,中介表!$A$1:$C$21,2,FALSE),"")</f>
        <v>阎罗王</v>
      </c>
      <c r="I30" s="41" t="str">
        <f>IFERROR(VLOOKUP(I10,中介表!$A$1:$C$21,2,FALSE),"")</f>
        <v>小白龙</v>
      </c>
      <c r="J30" s="41" t="str">
        <f>IFERROR(VLOOKUP(J10,中介表!$A$1:$C$21,2,FALSE),"")</f>
        <v/>
      </c>
      <c r="K30" s="41" t="str">
        <f>IFERROR(VLOOKUP(K10,中介表!$A$1:$C$21,2,FALSE),"")</f>
        <v>托塔天王</v>
      </c>
      <c r="L30" s="41" t="str">
        <f>IFERROR(VLOOKUP(L10,中介表!$A$1:$C$21,2,FALSE),"")</f>
        <v>赤脚大仙</v>
      </c>
      <c r="M30" s="41" t="str">
        <f>IFERROR(VLOOKUP(M10,中介表!$A$1:$C$21,2,FALSE),"")</f>
        <v/>
      </c>
      <c r="N30" s="41" t="str">
        <f>IFERROR(VLOOKUP(N10,中介表!$A$1:$C$21,2,FALSE),"")</f>
        <v>黑无常</v>
      </c>
      <c r="O30" s="41" t="str">
        <f>IFERROR(VLOOKUP(O10,中介表!$A$1:$C$21,2,FALSE),"")</f>
        <v>赤脚大仙</v>
      </c>
      <c r="P30" s="41" t="str">
        <f>IFERROR(VLOOKUP(P10,中介表!$A$1:$C$21,2,FALSE),"")</f>
        <v/>
      </c>
      <c r="Q30" s="41" t="str">
        <f>IFERROR(VLOOKUP(Q10,中介表!$A$1:$C$21,2,FALSE),"")</f>
        <v>二郎神</v>
      </c>
      <c r="R30" s="41" t="str">
        <f>IFERROR(VLOOKUP(R10,中介表!$A$1:$C$21,2,FALSE),"")</f>
        <v>赤脚大仙</v>
      </c>
      <c r="S30" s="41" t="str">
        <f>IFERROR(VLOOKUP(S10,中介表!$A$1:$C$21,2,FALSE),"")</f>
        <v/>
      </c>
      <c r="T30" s="41" t="str">
        <f>IFERROR(VLOOKUP(T10,中介表!$A$1:$C$21,2,FALSE),"")</f>
        <v/>
      </c>
      <c r="U30" s="41" t="str">
        <f>IFERROR(VLOOKUP(U10,中介表!$A$1:$C$21,2,FALSE),"")</f>
        <v/>
      </c>
      <c r="V30" s="41" t="str">
        <f>IFERROR(VLOOKUP(V10,中介表!$A$1:$C$21,2,FALSE),"")</f>
        <v/>
      </c>
      <c r="W30" s="41" t="str">
        <f>IFERROR(VLOOKUP(W10,中介表!$A$1:$C$21,2,FALSE),"")</f>
        <v/>
      </c>
    </row>
    <row r="31" spans="1:23">
      <c r="A31" s="25" t="s">
        <v>760</v>
      </c>
      <c r="B31" s="41"/>
      <c r="C31" s="41" t="str">
        <f>IFERROR(VLOOKUP(C11,中介表!$A$1:$C$21,2,FALSE),"")</f>
        <v>玉皇大帝</v>
      </c>
      <c r="D31" s="41" t="str">
        <f>IFERROR(VLOOKUP(D11,中介表!$A$1:$C$21,2,FALSE),"")</f>
        <v>阎罗王</v>
      </c>
      <c r="E31" s="41" t="str">
        <f>IFERROR(VLOOKUP(E11,中介表!$A$1:$C$21,2,FALSE),"")</f>
        <v>太白金星</v>
      </c>
      <c r="F31" s="41" t="str">
        <f>IFERROR(VLOOKUP(F11,中介表!$A$1:$C$21,2,FALSE),"")</f>
        <v/>
      </c>
      <c r="G31" s="41" t="str">
        <f>IFERROR(VLOOKUP(G11,中介表!$A$1:$C$21,2,FALSE),"")</f>
        <v>东海龙王</v>
      </c>
      <c r="H31" s="41" t="str">
        <f>IFERROR(VLOOKUP(H11,中介表!$A$1:$C$21,2,FALSE),"")</f>
        <v>小白龙</v>
      </c>
      <c r="I31" s="41" t="str">
        <f>IFERROR(VLOOKUP(I11,中介表!$A$1:$C$21,2,FALSE),"")</f>
        <v>玉皇大帝</v>
      </c>
      <c r="J31" s="41" t="str">
        <f>IFERROR(VLOOKUP(J11,中介表!$A$1:$C$21,2,FALSE),"")</f>
        <v/>
      </c>
      <c r="K31" s="41" t="str">
        <f>IFERROR(VLOOKUP(K11,中介表!$A$1:$C$21,2,FALSE),"")</f>
        <v>二郎神</v>
      </c>
      <c r="L31" s="41" t="str">
        <f>IFERROR(VLOOKUP(L11,中介表!$A$1:$C$21,2,FALSE),"")</f>
        <v>玉皇大帝</v>
      </c>
      <c r="M31" s="41" t="str">
        <f>IFERROR(VLOOKUP(M11,中介表!$A$1:$C$21,2,FALSE),"")</f>
        <v/>
      </c>
      <c r="N31" s="41" t="str">
        <f>IFERROR(VLOOKUP(N11,中介表!$A$1:$C$21,2,FALSE),"")</f>
        <v>哪吒</v>
      </c>
      <c r="O31" s="41" t="str">
        <f>IFERROR(VLOOKUP(O11,中介表!$A$1:$C$21,2,FALSE),"")</f>
        <v>玉皇大帝</v>
      </c>
      <c r="P31" s="41" t="str">
        <f>IFERROR(VLOOKUP(P11,中介表!$A$1:$C$21,2,FALSE),"")</f>
        <v/>
      </c>
      <c r="Q31" s="41" t="str">
        <f>IFERROR(VLOOKUP(Q11,中介表!$A$1:$C$21,2,FALSE),"")</f>
        <v>白无常</v>
      </c>
      <c r="R31" s="41" t="str">
        <f>IFERROR(VLOOKUP(R11,中介表!$A$1:$C$21,2,FALSE),"")</f>
        <v>玉皇大帝</v>
      </c>
      <c r="S31" s="41" t="str">
        <f>IFERROR(VLOOKUP(S11,中介表!$A$1:$C$21,2,FALSE),"")</f>
        <v/>
      </c>
      <c r="T31" s="41" t="str">
        <f>IFERROR(VLOOKUP(T11,中介表!$A$1:$C$21,2,FALSE),"")</f>
        <v/>
      </c>
      <c r="U31" s="41" t="str">
        <f>IFERROR(VLOOKUP(U11,中介表!$A$1:$C$21,2,FALSE),"")</f>
        <v/>
      </c>
      <c r="V31" s="41" t="str">
        <f>IFERROR(VLOOKUP(V11,中介表!$A$1:$C$21,2,FALSE),"")</f>
        <v/>
      </c>
      <c r="W31" s="41" t="str">
        <f>IFERROR(VLOOKUP(W11,中介表!$A$1:$C$21,2,FALSE),"")</f>
        <v/>
      </c>
    </row>
    <row r="32" spans="1:23">
      <c r="A32" s="115" t="s">
        <v>15</v>
      </c>
      <c r="B32" s="41"/>
      <c r="C32" s="41" t="str">
        <f>IFERROR(VLOOKUP(C12,中介表!$A$1:$C$21,2,FALSE),"")</f>
        <v>赤脚大仙</v>
      </c>
      <c r="D32" s="41" t="str">
        <f>IFERROR(VLOOKUP(D12,中介表!$A$1:$C$21,2,FALSE),"")</f>
        <v>东海龙王</v>
      </c>
      <c r="E32" s="41" t="str">
        <f>IFERROR(VLOOKUP(E12,中介表!$A$1:$C$21,2,FALSE),"")</f>
        <v>太白金星</v>
      </c>
      <c r="F32" s="41" t="str">
        <f>IFERROR(VLOOKUP(F12,中介表!$A$1:$C$21,2,FALSE),"")</f>
        <v/>
      </c>
      <c r="G32" s="41" t="str">
        <f>IFERROR(VLOOKUP(G12,中介表!$A$1:$C$21,2,FALSE),"")</f>
        <v>东海龙王</v>
      </c>
      <c r="H32" s="41" t="str">
        <f>IFERROR(VLOOKUP(H12,中介表!$A$1:$C$21,2,FALSE),"")</f>
        <v>小白龙</v>
      </c>
      <c r="I32" s="41" t="str">
        <f>IFERROR(VLOOKUP(I12,中介表!$A$1:$C$21,2,FALSE),"")</f>
        <v>玉皇大帝</v>
      </c>
      <c r="J32" s="41" t="str">
        <f>IFERROR(VLOOKUP(J12,中介表!$A$1:$C$21,2,FALSE),"")</f>
        <v/>
      </c>
      <c r="K32" s="41" t="str">
        <f>IFERROR(VLOOKUP(K12,中介表!$A$1:$C$21,2,FALSE),"")</f>
        <v>托塔天王</v>
      </c>
      <c r="L32" s="41" t="str">
        <f>IFERROR(VLOOKUP(L12,中介表!$A$1:$C$21,2,FALSE),"")</f>
        <v>东海龙王</v>
      </c>
      <c r="M32" s="41" t="str">
        <f>IFERROR(VLOOKUP(M12,中介表!$A$1:$C$21,2,FALSE),"")</f>
        <v/>
      </c>
      <c r="N32" s="41" t="str">
        <f>IFERROR(VLOOKUP(N12,中介表!$A$1:$C$21,2,FALSE),"")</f>
        <v>黑无常</v>
      </c>
      <c r="O32" s="41" t="str">
        <f>IFERROR(VLOOKUP(O12,中介表!$A$1:$C$21,2,FALSE),"")</f>
        <v>东海龙王</v>
      </c>
      <c r="P32" s="41" t="str">
        <f>IFERROR(VLOOKUP(P12,中介表!$A$1:$C$21,2,FALSE),"")</f>
        <v/>
      </c>
      <c r="Q32" s="41" t="str">
        <f>IFERROR(VLOOKUP(Q12,中介表!$A$1:$C$21,2,FALSE),"")</f>
        <v>王母娘娘</v>
      </c>
      <c r="R32" s="41" t="str">
        <f>IFERROR(VLOOKUP(R12,中介表!$A$1:$C$21,2,FALSE),"")</f>
        <v>东海龙王</v>
      </c>
      <c r="S32" s="41" t="str">
        <f>IFERROR(VLOOKUP(S12,中介表!$A$1:$C$21,2,FALSE),"")</f>
        <v/>
      </c>
      <c r="T32" s="41" t="str">
        <f>IFERROR(VLOOKUP(T12,中介表!$A$1:$C$21,2,FALSE),"")</f>
        <v/>
      </c>
      <c r="U32" s="41" t="str">
        <f>IFERROR(VLOOKUP(U12,中介表!$A$1:$C$21,2,FALSE),"")</f>
        <v/>
      </c>
      <c r="V32" s="41" t="str">
        <f>IFERROR(VLOOKUP(V12,中介表!$A$1:$C$21,2,FALSE),"")</f>
        <v/>
      </c>
      <c r="W32" s="41" t="str">
        <f>IFERROR(VLOOKUP(W12,中介表!$A$1:$C$21,2,FALSE),"")</f>
        <v/>
      </c>
    </row>
    <row r="33" spans="1:23">
      <c r="A33" s="25" t="s">
        <v>36</v>
      </c>
      <c r="B33" s="41"/>
      <c r="C33" s="41" t="str">
        <f>IFERROR(VLOOKUP(C13,中介表!$A$1:$C$21,2,FALSE),"")</f>
        <v>玉皇大帝</v>
      </c>
      <c r="D33" s="41" t="str">
        <f>IFERROR(VLOOKUP(D13,中介表!$A$1:$C$21,2,FALSE),"")</f>
        <v>阎罗王</v>
      </c>
      <c r="E33" s="41" t="str">
        <f>IFERROR(VLOOKUP(E13,中介表!$A$1:$C$21,2,FALSE),"")</f>
        <v>太白金星</v>
      </c>
      <c r="F33" s="41" t="str">
        <f>IFERROR(VLOOKUP(F13,中介表!$A$1:$C$21,2,FALSE),"")</f>
        <v/>
      </c>
      <c r="G33" s="41" t="str">
        <f>IFERROR(VLOOKUP(G13,中介表!$A$1:$C$21,2,FALSE),"")</f>
        <v>赤脚大仙</v>
      </c>
      <c r="H33" s="41" t="str">
        <f>IFERROR(VLOOKUP(H13,中介表!$A$1:$C$21,2,FALSE),"")</f>
        <v>阎罗王</v>
      </c>
      <c r="I33" s="41" t="str">
        <f>IFERROR(VLOOKUP(I13,中介表!$A$1:$C$21,2,FALSE),"")</f>
        <v>小白龙</v>
      </c>
      <c r="J33" s="41" t="str">
        <f>IFERROR(VLOOKUP(J13,中介表!$A$1:$C$21,2,FALSE),"")</f>
        <v/>
      </c>
      <c r="K33" s="41" t="str">
        <f>IFERROR(VLOOKUP(K13,中介表!$A$1:$C$21,2,FALSE),"")</f>
        <v>王母娘娘</v>
      </c>
      <c r="L33" s="41" t="str">
        <f>IFERROR(VLOOKUP(L13,中介表!$A$1:$C$21,2,FALSE),"")</f>
        <v>阎罗王</v>
      </c>
      <c r="M33" s="41" t="str">
        <f>IFERROR(VLOOKUP(M13,中介表!$A$1:$C$21,2,FALSE),"")</f>
        <v/>
      </c>
      <c r="N33" s="41" t="str">
        <f>IFERROR(VLOOKUP(N13,中介表!$A$1:$C$21,2,FALSE),"")</f>
        <v>白无常</v>
      </c>
      <c r="O33" s="41" t="str">
        <f>IFERROR(VLOOKUP(O13,中介表!$A$1:$C$21,2,FALSE),"")</f>
        <v>阎罗王</v>
      </c>
      <c r="P33" s="41" t="str">
        <f>IFERROR(VLOOKUP(P13,中介表!$A$1:$C$21,2,FALSE),"")</f>
        <v/>
      </c>
      <c r="Q33" s="41" t="str">
        <f>IFERROR(VLOOKUP(Q13,中介表!$A$1:$C$21,2,FALSE),"")</f>
        <v>阎罗王</v>
      </c>
      <c r="R33" s="41" t="str">
        <f>IFERROR(VLOOKUP(R13,中介表!$A$1:$C$21,2,FALSE),"")</f>
        <v>小白龙</v>
      </c>
      <c r="S33" s="41" t="str">
        <f>IFERROR(VLOOKUP(S13,中介表!$A$1:$C$21,2,FALSE),"")</f>
        <v/>
      </c>
      <c r="T33" s="41" t="str">
        <f>IFERROR(VLOOKUP(T13,中介表!$A$1:$C$21,2,FALSE),"")</f>
        <v/>
      </c>
      <c r="U33" s="41" t="str">
        <f>IFERROR(VLOOKUP(U13,中介表!$A$1:$C$21,2,FALSE),"")</f>
        <v/>
      </c>
      <c r="V33" s="41" t="str">
        <f>IFERROR(VLOOKUP(V13,中介表!$A$1:$C$21,2,FALSE),"")</f>
        <v/>
      </c>
      <c r="W33" s="41" t="str">
        <f>IFERROR(VLOOKUP(W13,中介表!$A$1:$C$21,2,FALSE),"")</f>
        <v/>
      </c>
    </row>
    <row r="34" spans="1:23">
      <c r="A34" s="25" t="s">
        <v>74</v>
      </c>
      <c r="B34" s="41"/>
      <c r="C34" s="41" t="str">
        <f>IFERROR(VLOOKUP(C14,中介表!$A$1:$C$21,2,FALSE),"")</f>
        <v>东海龙王</v>
      </c>
      <c r="D34" s="41" t="str">
        <f>IFERROR(VLOOKUP(D14,中介表!$A$1:$C$21,2,FALSE),"")</f>
        <v>小白龙</v>
      </c>
      <c r="E34" s="41" t="str">
        <f>IFERROR(VLOOKUP(E14,中介表!$A$1:$C$21,2,FALSE),"")</f>
        <v>玉皇大帝</v>
      </c>
      <c r="F34" s="41" t="str">
        <f>IFERROR(VLOOKUP(F14,中介表!$A$1:$C$21,2,FALSE),"")</f>
        <v/>
      </c>
      <c r="G34" s="41" t="str">
        <f>IFERROR(VLOOKUP(G14,中介表!$A$1:$C$21,2,FALSE),"")</f>
        <v>赤脚大仙</v>
      </c>
      <c r="H34" s="41" t="str">
        <f>IFERROR(VLOOKUP(H14,中介表!$A$1:$C$21,2,FALSE),"")</f>
        <v>阎罗王</v>
      </c>
      <c r="I34" s="41" t="str">
        <f>IFERROR(VLOOKUP(I14,中介表!$A$1:$C$21,2,FALSE),"")</f>
        <v>小白龙</v>
      </c>
      <c r="J34" s="41" t="str">
        <f>IFERROR(VLOOKUP(J14,中介表!$A$1:$C$21,2,FALSE),"")</f>
        <v/>
      </c>
      <c r="K34" s="41" t="str">
        <f>IFERROR(VLOOKUP(K14,中介表!$A$1:$C$21,2,FALSE),"")</f>
        <v>二郎神</v>
      </c>
      <c r="L34" s="41" t="str">
        <f>IFERROR(VLOOKUP(L14,中介表!$A$1:$C$21,2,FALSE),"")</f>
        <v>小白龙</v>
      </c>
      <c r="M34" s="41" t="str">
        <f>IFERROR(VLOOKUP(M14,中介表!$A$1:$C$21,2,FALSE),"")</f>
        <v/>
      </c>
      <c r="N34" s="41" t="str">
        <f>IFERROR(VLOOKUP(N14,中介表!$A$1:$C$21,2,FALSE),"")</f>
        <v>哪吒</v>
      </c>
      <c r="O34" s="41" t="str">
        <f>IFERROR(VLOOKUP(O14,中介表!$A$1:$C$21,2,FALSE),"")</f>
        <v>小白龙</v>
      </c>
      <c r="P34" s="41" t="str">
        <f>IFERROR(VLOOKUP(P14,中介表!$A$1:$C$21,2,FALSE),"")</f>
        <v/>
      </c>
      <c r="Q34" s="41" t="str">
        <f>IFERROR(VLOOKUP(Q14,中介表!$A$1:$C$21,2,FALSE),"")</f>
        <v>阎罗王</v>
      </c>
      <c r="R34" s="41" t="str">
        <f>IFERROR(VLOOKUP(R14,中介表!$A$1:$C$21,2,FALSE),"")</f>
        <v>小白龙</v>
      </c>
      <c r="S34" s="41" t="str">
        <f>IFERROR(VLOOKUP(S14,中介表!$A$1:$C$21,2,FALSE),"")</f>
        <v/>
      </c>
      <c r="T34" s="41" t="str">
        <f>IFERROR(VLOOKUP(T14,中介表!$A$1:$C$21,2,FALSE),"")</f>
        <v/>
      </c>
      <c r="U34" s="41" t="str">
        <f>IFERROR(VLOOKUP(U14,中介表!$A$1:$C$21,2,FALSE),"")</f>
        <v/>
      </c>
      <c r="V34" s="41" t="str">
        <f>IFERROR(VLOOKUP(V14,中介表!$A$1:$C$21,2,FALSE),"")</f>
        <v/>
      </c>
      <c r="W34" s="41" t="str">
        <f>IFERROR(VLOOKUP(W14,中介表!$A$1:$C$21,2,FALSE),"")</f>
        <v/>
      </c>
    </row>
    <row r="35" spans="1:23">
      <c r="A35" s="25" t="s">
        <v>605</v>
      </c>
      <c r="B35" s="41"/>
      <c r="C35" s="41" t="str">
        <f>IFERROR(VLOOKUP(C15,中介表!$A$1:$C$21,2,FALSE),"")</f>
        <v>赤脚大仙</v>
      </c>
      <c r="D35" s="41" t="str">
        <f>IFERROR(VLOOKUP(D15,中介表!$A$1:$C$21,2,FALSE),"")</f>
        <v>东海龙王</v>
      </c>
      <c r="E35" s="41" t="str">
        <f>IFERROR(VLOOKUP(E15,中介表!$A$1:$C$21,2,FALSE),"")</f>
        <v>太白金星</v>
      </c>
      <c r="F35" s="41" t="str">
        <f>IFERROR(VLOOKUP(F15,中介表!$A$1:$C$21,2,FALSE),"")</f>
        <v/>
      </c>
      <c r="G35" s="41" t="str">
        <f>IFERROR(VLOOKUP(G15,中介表!$A$1:$C$21,2,FALSE),"")</f>
        <v>玉皇大帝</v>
      </c>
      <c r="H35" s="41" t="str">
        <f>IFERROR(VLOOKUP(H15,中介表!$A$1:$C$21,2,FALSE),"")</f>
        <v>阎罗王</v>
      </c>
      <c r="I35" s="41" t="str">
        <f>IFERROR(VLOOKUP(I15,中介表!$A$1:$C$21,2,FALSE),"")</f>
        <v>太白金星</v>
      </c>
      <c r="J35" s="41" t="str">
        <f>IFERROR(VLOOKUP(J15,中介表!$A$1:$C$21,2,FALSE),"")</f>
        <v/>
      </c>
      <c r="K35" s="41" t="str">
        <f>IFERROR(VLOOKUP(K15,中介表!$A$1:$C$21,2,FALSE),"")</f>
        <v>王母娘娘</v>
      </c>
      <c r="L35" s="41" t="str">
        <f>IFERROR(VLOOKUP(L15,中介表!$A$1:$C$21,2,FALSE),"")</f>
        <v>太白金星</v>
      </c>
      <c r="M35" s="41" t="str">
        <f>IFERROR(VLOOKUP(M15,中介表!$A$1:$C$21,2,FALSE),"")</f>
        <v/>
      </c>
      <c r="N35" s="41" t="str">
        <f>IFERROR(VLOOKUP(N15,中介表!$A$1:$C$21,2,FALSE),"")</f>
        <v>白无常</v>
      </c>
      <c r="O35" s="41" t="str">
        <f>IFERROR(VLOOKUP(O15,中介表!$A$1:$C$21,2,FALSE),"")</f>
        <v>太白金星</v>
      </c>
      <c r="P35" s="41" t="str">
        <f>IFERROR(VLOOKUP(P15,中介表!$A$1:$C$21,2,FALSE),"")</f>
        <v/>
      </c>
      <c r="Q35" s="41" t="str">
        <f>IFERROR(VLOOKUP(Q15,中介表!$A$1:$C$21,2,FALSE),"")</f>
        <v>哪吒</v>
      </c>
      <c r="R35" s="41" t="str">
        <f>IFERROR(VLOOKUP(R15,中介表!$A$1:$C$21,2,FALSE),"")</f>
        <v>太白金星</v>
      </c>
      <c r="S35" s="41" t="str">
        <f>IFERROR(VLOOKUP(S15,中介表!$A$1:$C$21,2,FALSE),"")</f>
        <v/>
      </c>
      <c r="T35" s="41" t="str">
        <f>IFERROR(VLOOKUP(T15,中介表!$A$1:$C$21,2,FALSE),"")</f>
        <v/>
      </c>
      <c r="U35" s="41" t="str">
        <f>IFERROR(VLOOKUP(U15,中介表!$A$1:$C$21,2,FALSE),"")</f>
        <v/>
      </c>
      <c r="V35" s="41" t="str">
        <f>IFERROR(VLOOKUP(V15,中介表!$A$1:$C$21,2,FALSE),"")</f>
        <v/>
      </c>
      <c r="W35" s="41" t="str">
        <f>IFERROR(VLOOKUP(W15,中介表!$A$1:$C$21,2,FALSE),"")</f>
        <v/>
      </c>
    </row>
    <row r="36" spans="1:23">
      <c r="A36" s="47" t="s">
        <v>52</v>
      </c>
      <c r="B36" s="41"/>
      <c r="C36" s="41" t="str">
        <f>IFERROR(VLOOKUP(C16,中介表!$A$1:$C$21,2,FALSE),"")</f>
        <v>鬼使黑</v>
      </c>
      <c r="D36" s="41" t="str">
        <f>IFERROR(VLOOKUP(D16,中介表!$A$1:$C$21,2,FALSE),"")</f>
        <v>马面</v>
      </c>
      <c r="E36" s="41" t="str">
        <f>IFERROR(VLOOKUP(E16,中介表!$A$1:$C$21,2,FALSE),"")</f>
        <v>泾河龙王</v>
      </c>
      <c r="F36" s="41" t="str">
        <f>IFERROR(VLOOKUP(F16,中介表!$A$1:$C$21,2,FALSE),"")</f>
        <v/>
      </c>
      <c r="G36" s="41" t="str">
        <f>IFERROR(VLOOKUP(G16,中介表!$A$1:$C$21,2,FALSE),"")</f>
        <v>泾河龙王</v>
      </c>
      <c r="H36" s="41" t="str">
        <f>IFERROR(VLOOKUP(H16,中介表!$A$1:$C$21,2,FALSE),"")</f>
        <v>雷公</v>
      </c>
      <c r="I36" s="41" t="str">
        <f>IFERROR(VLOOKUP(I16,中介表!$A$1:$C$21,2,FALSE),"")</f>
        <v/>
      </c>
      <c r="J36" s="41" t="str">
        <f>IFERROR(VLOOKUP(J16,中介表!$A$1:$C$21,2,FALSE),"")</f>
        <v>泾河龙王</v>
      </c>
      <c r="K36" s="41" t="str">
        <f>IFERROR(VLOOKUP(K16,中介表!$A$1:$C$21,2,FALSE),"")</f>
        <v>鬼使黑</v>
      </c>
      <c r="L36" s="41" t="str">
        <f>IFERROR(VLOOKUP(L16,中介表!$A$1:$C$21,2,FALSE),"")</f>
        <v/>
      </c>
      <c r="M36" s="41" t="str">
        <f>IFERROR(VLOOKUP(M16,中介表!$A$1:$C$21,2,FALSE),"")</f>
        <v>泾河龙王</v>
      </c>
      <c r="N36" s="41" t="str">
        <f>IFERROR(VLOOKUP(N16,中介表!$A$1:$C$21,2,FALSE),"")</f>
        <v>鬼使白</v>
      </c>
      <c r="O36" s="41" t="str">
        <f>IFERROR(VLOOKUP(O16,中介表!$A$1:$C$21,2,FALSE),"")</f>
        <v/>
      </c>
      <c r="P36" s="41" t="str">
        <f>IFERROR(VLOOKUP(P16,中介表!$A$1:$C$21,2,FALSE),"")</f>
        <v/>
      </c>
      <c r="Q36" s="41" t="str">
        <f>IFERROR(VLOOKUP(Q16,中介表!$A$1:$C$21,2,FALSE),"")</f>
        <v/>
      </c>
      <c r="R36" s="41" t="str">
        <f>IFERROR(VLOOKUP(R16,中介表!$A$1:$C$21,2,FALSE),"")</f>
        <v/>
      </c>
      <c r="S36" s="41" t="str">
        <f>IFERROR(VLOOKUP(S16,中介表!$A$1:$C$21,2,FALSE),"")</f>
        <v/>
      </c>
      <c r="T36" s="41" t="str">
        <f>IFERROR(VLOOKUP(T16,中介表!$A$1:$C$21,2,FALSE),"")</f>
        <v/>
      </c>
      <c r="U36" s="41" t="str">
        <f>IFERROR(VLOOKUP(U16,中介表!$A$1:$C$21,2,FALSE),"")</f>
        <v/>
      </c>
      <c r="V36" s="41" t="str">
        <f>IFERROR(VLOOKUP(V16,中介表!$A$1:$C$21,2,FALSE),"")</f>
        <v/>
      </c>
      <c r="W36" s="41" t="str">
        <f>IFERROR(VLOOKUP(W16,中介表!$A$1:$C$21,2,FALSE),"")</f>
        <v/>
      </c>
    </row>
    <row r="37" spans="1:23">
      <c r="A37" s="47" t="s">
        <v>20</v>
      </c>
      <c r="B37" s="41"/>
      <c r="C37" s="41" t="str">
        <f>IFERROR(VLOOKUP(C17,中介表!$A$1:$C$21,2,FALSE),"")</f>
        <v>牛头</v>
      </c>
      <c r="D37" s="41" t="str">
        <f>IFERROR(VLOOKUP(D17,中介表!$A$1:$C$21,2,FALSE),"")</f>
        <v>雷公</v>
      </c>
      <c r="E37" s="41" t="str">
        <f>IFERROR(VLOOKUP(E17,中介表!$A$1:$C$21,2,FALSE),"")</f>
        <v>马面</v>
      </c>
      <c r="F37" s="41" t="str">
        <f>IFERROR(VLOOKUP(F17,中介表!$A$1:$C$21,2,FALSE),"")</f>
        <v/>
      </c>
      <c r="G37" s="41" t="str">
        <f>IFERROR(VLOOKUP(G17,中介表!$A$1:$C$21,2,FALSE),"")</f>
        <v>泾河龙王</v>
      </c>
      <c r="H37" s="41" t="str">
        <f>IFERROR(VLOOKUP(H17,中介表!$A$1:$C$21,2,FALSE),"")</f>
        <v>雷公</v>
      </c>
      <c r="I37" s="41" t="str">
        <f>IFERROR(VLOOKUP(I17,中介表!$A$1:$C$21,2,FALSE),"")</f>
        <v/>
      </c>
      <c r="J37" s="41" t="str">
        <f>IFERROR(VLOOKUP(J17,中介表!$A$1:$C$21,2,FALSE),"")</f>
        <v>雷公</v>
      </c>
      <c r="K37" s="41" t="str">
        <f>IFERROR(VLOOKUP(K17,中介表!$A$1:$C$21,2,FALSE),"")</f>
        <v>鬼使白</v>
      </c>
      <c r="L37" s="41" t="str">
        <f>IFERROR(VLOOKUP(L17,中介表!$A$1:$C$21,2,FALSE),"")</f>
        <v/>
      </c>
      <c r="M37" s="41" t="str">
        <f>IFERROR(VLOOKUP(M17,中介表!$A$1:$C$21,2,FALSE),"")</f>
        <v>雷公</v>
      </c>
      <c r="N37" s="41" t="str">
        <f>IFERROR(VLOOKUP(N17,中介表!$A$1:$C$21,2,FALSE),"")</f>
        <v>牛头</v>
      </c>
      <c r="O37" s="41" t="str">
        <f>IFERROR(VLOOKUP(O17,中介表!$A$1:$C$21,2,FALSE),"")</f>
        <v/>
      </c>
      <c r="P37" s="41" t="str">
        <f>IFERROR(VLOOKUP(P17,中介表!$A$1:$C$21,2,FALSE),"")</f>
        <v/>
      </c>
      <c r="Q37" s="41" t="str">
        <f>IFERROR(VLOOKUP(Q17,中介表!$A$1:$C$21,2,FALSE),"")</f>
        <v/>
      </c>
      <c r="R37" s="41" t="str">
        <f>IFERROR(VLOOKUP(R17,中介表!$A$1:$C$21,2,FALSE),"")</f>
        <v/>
      </c>
      <c r="S37" s="41" t="str">
        <f>IFERROR(VLOOKUP(S17,中介表!$A$1:$C$21,2,FALSE),"")</f>
        <v/>
      </c>
      <c r="T37" s="41" t="str">
        <f>IFERROR(VLOOKUP(T17,中介表!$A$1:$C$21,2,FALSE),"")</f>
        <v/>
      </c>
      <c r="U37" s="41" t="str">
        <f>IFERROR(VLOOKUP(U17,中介表!$A$1:$C$21,2,FALSE),"")</f>
        <v/>
      </c>
      <c r="V37" s="41" t="str">
        <f>IFERROR(VLOOKUP(V17,中介表!$A$1:$C$21,2,FALSE),"")</f>
        <v/>
      </c>
      <c r="W37" s="41" t="str">
        <f>IFERROR(VLOOKUP(W17,中介表!$A$1:$C$21,2,FALSE),"")</f>
        <v/>
      </c>
    </row>
    <row r="38" spans="1:23">
      <c r="A38" s="47" t="s">
        <v>75</v>
      </c>
      <c r="B38" s="41"/>
      <c r="C38" s="41" t="str">
        <f>IFERROR(VLOOKUP(C18,中介表!$A$1:$C$21,2,FALSE),"")</f>
        <v>鬼使黑</v>
      </c>
      <c r="D38" s="41" t="str">
        <f>IFERROR(VLOOKUP(D18,中介表!$A$1:$C$21,2,FALSE),"")</f>
        <v>马面</v>
      </c>
      <c r="E38" s="41" t="str">
        <f>IFERROR(VLOOKUP(E18,中介表!$A$1:$C$21,2,FALSE),"")</f>
        <v>泾河龙王</v>
      </c>
      <c r="F38" s="41" t="str">
        <f>IFERROR(VLOOKUP(F18,中介表!$A$1:$C$21,2,FALSE),"")</f>
        <v/>
      </c>
      <c r="G38" s="41" t="str">
        <f>IFERROR(VLOOKUP(G18,中介表!$A$1:$C$21,2,FALSE),"")</f>
        <v>鬼使黑</v>
      </c>
      <c r="H38" s="41" t="str">
        <f>IFERROR(VLOOKUP(H18,中介表!$A$1:$C$21,2,FALSE),"")</f>
        <v>鬼使白</v>
      </c>
      <c r="I38" s="41" t="str">
        <f>IFERROR(VLOOKUP(I18,中介表!$A$1:$C$21,2,FALSE),"")</f>
        <v/>
      </c>
      <c r="J38" s="41" t="str">
        <f>IFERROR(VLOOKUP(J18,中介表!$A$1:$C$21,2,FALSE),"")</f>
        <v>鬼使黑</v>
      </c>
      <c r="K38" s="41" t="str">
        <f>IFERROR(VLOOKUP(K18,中介表!$A$1:$C$21,2,FALSE),"")</f>
        <v>牛头</v>
      </c>
      <c r="L38" s="41" t="str">
        <f>IFERROR(VLOOKUP(L18,中介表!$A$1:$C$21,2,FALSE),"")</f>
        <v/>
      </c>
      <c r="M38" s="41" t="str">
        <f>IFERROR(VLOOKUP(M18,中介表!$A$1:$C$21,2,FALSE),"")</f>
        <v>泾河龙王</v>
      </c>
      <c r="N38" s="41" t="str">
        <f>IFERROR(VLOOKUP(N18,中介表!$A$1:$C$21,2,FALSE),"")</f>
        <v>鬼使黑</v>
      </c>
      <c r="O38" s="41" t="str">
        <f>IFERROR(VLOOKUP(O18,中介表!$A$1:$C$21,2,FALSE),"")</f>
        <v/>
      </c>
      <c r="P38" s="41" t="str">
        <f>IFERROR(VLOOKUP(P18,中介表!$A$1:$C$21,2,FALSE),"")</f>
        <v/>
      </c>
      <c r="Q38" s="41" t="str">
        <f>IFERROR(VLOOKUP(Q18,中介表!$A$1:$C$21,2,FALSE),"")</f>
        <v/>
      </c>
      <c r="R38" s="41" t="str">
        <f>IFERROR(VLOOKUP(R18,中介表!$A$1:$C$21,2,FALSE),"")</f>
        <v/>
      </c>
      <c r="S38" s="41" t="str">
        <f>IFERROR(VLOOKUP(S18,中介表!$A$1:$C$21,2,FALSE),"")</f>
        <v/>
      </c>
      <c r="T38" s="41" t="str">
        <f>IFERROR(VLOOKUP(T18,中介表!$A$1:$C$21,2,FALSE),"")</f>
        <v/>
      </c>
      <c r="U38" s="41" t="str">
        <f>IFERROR(VLOOKUP(U18,中介表!$A$1:$C$21,2,FALSE),"")</f>
        <v/>
      </c>
      <c r="V38" s="41" t="str">
        <f>IFERROR(VLOOKUP(V18,中介表!$A$1:$C$21,2,FALSE),"")</f>
        <v/>
      </c>
      <c r="W38" s="41" t="str">
        <f>IFERROR(VLOOKUP(W18,中介表!$A$1:$C$21,2,FALSE),"")</f>
        <v/>
      </c>
    </row>
    <row r="39" spans="1:23">
      <c r="A39" s="47" t="s">
        <v>76</v>
      </c>
      <c r="B39" s="41"/>
      <c r="C39" s="41" t="str">
        <f>IFERROR(VLOOKUP(C19,中介表!$A$1:$C$21,2,FALSE),"")</f>
        <v>鬼使黑</v>
      </c>
      <c r="D39" s="41" t="str">
        <f>IFERROR(VLOOKUP(D19,中介表!$A$1:$C$21,2,FALSE),"")</f>
        <v>鬼使白</v>
      </c>
      <c r="E39" s="41" t="str">
        <f>IFERROR(VLOOKUP(E19,中介表!$A$1:$C$21,2,FALSE),"")</f>
        <v/>
      </c>
      <c r="F39" s="41" t="str">
        <f>IFERROR(VLOOKUP(F19,中介表!$A$1:$C$21,2,FALSE),"")</f>
        <v>雷公</v>
      </c>
      <c r="G39" s="41" t="str">
        <f>IFERROR(VLOOKUP(G19,中介表!$A$1:$C$21,2,FALSE),"")</f>
        <v>鬼使白</v>
      </c>
      <c r="H39" s="41" t="str">
        <f>IFERROR(VLOOKUP(H19,中介表!$A$1:$C$21,2,FALSE),"")</f>
        <v/>
      </c>
      <c r="I39" s="41" t="str">
        <f>IFERROR(VLOOKUP(I19,中介表!$A$1:$C$21,2,FALSE),"")</f>
        <v>鬼使白</v>
      </c>
      <c r="J39" s="41" t="str">
        <f>IFERROR(VLOOKUP(J19,中介表!$A$1:$C$21,2,FALSE),"")</f>
        <v>马面</v>
      </c>
      <c r="K39" s="41" t="str">
        <f>IFERROR(VLOOKUP(K19,中介表!$A$1:$C$21,2,FALSE),"")</f>
        <v/>
      </c>
      <c r="L39" s="41" t="str">
        <f>IFERROR(VLOOKUP(L19,中介表!$A$1:$C$21,2,FALSE),"")</f>
        <v>泾河龙王</v>
      </c>
      <c r="M39" s="41" t="str">
        <f>IFERROR(VLOOKUP(M19,中介表!$A$1:$C$21,2,FALSE),"")</f>
        <v>鬼使白</v>
      </c>
      <c r="N39" s="41" t="str">
        <f>IFERROR(VLOOKUP(N19,中介表!$A$1:$C$21,2,FALSE),"")</f>
        <v/>
      </c>
      <c r="O39" s="41" t="str">
        <f>IFERROR(VLOOKUP(O19,中介表!$A$1:$C$21,2,FALSE),"")</f>
        <v/>
      </c>
      <c r="P39" s="41" t="str">
        <f>IFERROR(VLOOKUP(P19,中介表!$A$1:$C$21,2,FALSE),"")</f>
        <v/>
      </c>
      <c r="Q39" s="41" t="str">
        <f>IFERROR(VLOOKUP(Q19,中介表!$A$1:$C$21,2,FALSE),"")</f>
        <v/>
      </c>
      <c r="R39" s="41" t="str">
        <f>IFERROR(VLOOKUP(R19,中介表!$A$1:$C$21,2,FALSE),"")</f>
        <v/>
      </c>
      <c r="S39" s="41" t="str">
        <f>IFERROR(VLOOKUP(S19,中介表!$A$1:$C$21,2,FALSE),"")</f>
        <v/>
      </c>
      <c r="T39" s="41" t="str">
        <f>IFERROR(VLOOKUP(T19,中介表!$A$1:$C$21,2,FALSE),"")</f>
        <v/>
      </c>
      <c r="U39" s="41" t="str">
        <f>IFERROR(VLOOKUP(U19,中介表!$A$1:$C$21,2,FALSE),"")</f>
        <v/>
      </c>
      <c r="V39" s="41" t="str">
        <f>IFERROR(VLOOKUP(V19,中介表!$A$1:$C$21,2,FALSE),"")</f>
        <v/>
      </c>
      <c r="W39" s="41" t="str">
        <f>IFERROR(VLOOKUP(W19,中介表!$A$1:$C$21,2,FALSE),"")</f>
        <v/>
      </c>
    </row>
    <row r="40" spans="1:23">
      <c r="A40" s="46" t="s">
        <v>70</v>
      </c>
      <c r="B40" s="41"/>
      <c r="C40" s="41" t="str">
        <f>IFERROR(VLOOKUP(C20,中介表!$A$1:$C$21,2,FALSE),"")</f>
        <v>牛头</v>
      </c>
      <c r="D40" s="41" t="str">
        <f>IFERROR(VLOOKUP(D20,中介表!$A$1:$C$21,2,FALSE),"")</f>
        <v>雷公</v>
      </c>
      <c r="E40" s="41" t="str">
        <f>IFERROR(VLOOKUP(E20,中介表!$A$1:$C$21,2,FALSE),"")</f>
        <v>马面</v>
      </c>
      <c r="F40" s="41" t="str">
        <f>IFERROR(VLOOKUP(F20,中介表!$A$1:$C$21,2,FALSE),"")</f>
        <v/>
      </c>
      <c r="G40" s="41" t="str">
        <f>IFERROR(VLOOKUP(G20,中介表!$A$1:$C$21,2,FALSE),"")</f>
        <v>牛头</v>
      </c>
      <c r="H40" s="41" t="str">
        <f>IFERROR(VLOOKUP(H20,中介表!$A$1:$C$21,2,FALSE),"")</f>
        <v>马面</v>
      </c>
      <c r="I40" s="41" t="str">
        <f>IFERROR(VLOOKUP(I20,中介表!$A$1:$C$21,2,FALSE),"")</f>
        <v/>
      </c>
      <c r="J40" s="41" t="str">
        <f>IFERROR(VLOOKUP(J20,中介表!$A$1:$C$21,2,FALSE),"")</f>
        <v>鬼使黑</v>
      </c>
      <c r="K40" s="41" t="str">
        <f>IFERROR(VLOOKUP(K20,中介表!$A$1:$C$21,2,FALSE),"")</f>
        <v>牛头</v>
      </c>
      <c r="L40" s="41" t="str">
        <f>IFERROR(VLOOKUP(L20,中介表!$A$1:$C$21,2,FALSE),"")</f>
        <v/>
      </c>
      <c r="M40" s="41" t="str">
        <f>IFERROR(VLOOKUP(M20,中介表!$A$1:$C$21,2,FALSE),"")</f>
        <v>雷公</v>
      </c>
      <c r="N40" s="41" t="str">
        <f>IFERROR(VLOOKUP(N20,中介表!$A$1:$C$21,2,FALSE),"")</f>
        <v>牛头</v>
      </c>
      <c r="O40" s="41" t="str">
        <f>IFERROR(VLOOKUP(O20,中介表!$A$1:$C$21,2,FALSE),"")</f>
        <v/>
      </c>
      <c r="P40" s="41" t="str">
        <f>IFERROR(VLOOKUP(P20,中介表!$A$1:$C$21,2,FALSE),"")</f>
        <v/>
      </c>
      <c r="Q40" s="41" t="str">
        <f>IFERROR(VLOOKUP(Q20,中介表!$A$1:$C$21,2,FALSE),"")</f>
        <v/>
      </c>
      <c r="R40" s="41" t="str">
        <f>IFERROR(VLOOKUP(R20,中介表!$A$1:$C$21,2,FALSE),"")</f>
        <v/>
      </c>
      <c r="S40" s="41" t="str">
        <f>IFERROR(VLOOKUP(S20,中介表!$A$1:$C$21,2,FALSE),"")</f>
        <v/>
      </c>
      <c r="T40" s="41" t="str">
        <f>IFERROR(VLOOKUP(T20,中介表!$A$1:$C$21,2,FALSE),"")</f>
        <v/>
      </c>
      <c r="U40" s="41" t="str">
        <f>IFERROR(VLOOKUP(U20,中介表!$A$1:$C$21,2,FALSE),"")</f>
        <v/>
      </c>
      <c r="V40" s="41" t="str">
        <f>IFERROR(VLOOKUP(V20,中介表!$A$1:$C$21,2,FALSE),"")</f>
        <v/>
      </c>
      <c r="W40" s="41" t="str">
        <f>IFERROR(VLOOKUP(W20,中介表!$A$1:$C$21,2,FALSE),"")</f>
        <v/>
      </c>
    </row>
    <row r="41" spans="1:23">
      <c r="A41" s="46" t="s">
        <v>71</v>
      </c>
      <c r="B41" s="41"/>
      <c r="C41" s="41" t="str">
        <f>IFERROR(VLOOKUP(C21,中介表!$A$1:$C$21,2,FALSE),"")</f>
        <v>鬼使黑</v>
      </c>
      <c r="D41" s="41" t="str">
        <f>IFERROR(VLOOKUP(D21,中介表!$A$1:$C$21,2,FALSE),"")</f>
        <v>马面</v>
      </c>
      <c r="E41" s="41" t="str">
        <f>IFERROR(VLOOKUP(E21,中介表!$A$1:$C$21,2,FALSE),"")</f>
        <v>泾河龙王</v>
      </c>
      <c r="F41" s="41" t="str">
        <f>IFERROR(VLOOKUP(F21,中介表!$A$1:$C$21,2,FALSE),"")</f>
        <v/>
      </c>
      <c r="G41" s="41" t="str">
        <f>IFERROR(VLOOKUP(G21,中介表!$A$1:$C$21,2,FALSE),"")</f>
        <v>牛头</v>
      </c>
      <c r="H41" s="41" t="str">
        <f>IFERROR(VLOOKUP(H21,中介表!$A$1:$C$21,2,FALSE),"")</f>
        <v>雷公</v>
      </c>
      <c r="I41" s="41" t="str">
        <f>IFERROR(VLOOKUP(I21,中介表!$A$1:$C$21,2,FALSE),"")</f>
        <v>马面</v>
      </c>
      <c r="J41" s="41" t="str">
        <f>IFERROR(VLOOKUP(J21,中介表!$A$1:$C$21,2,FALSE),"")</f>
        <v/>
      </c>
      <c r="K41" s="41" t="str">
        <f>IFERROR(VLOOKUP(K21,中介表!$A$1:$C$21,2,FALSE),"")</f>
        <v>牛头</v>
      </c>
      <c r="L41" s="41" t="str">
        <f>IFERROR(VLOOKUP(L21,中介表!$A$1:$C$21,2,FALSE),"")</f>
        <v>马面</v>
      </c>
      <c r="M41" s="41" t="str">
        <f>IFERROR(VLOOKUP(M21,中介表!$A$1:$C$21,2,FALSE),"")</f>
        <v/>
      </c>
      <c r="N41" s="41" t="str">
        <f>IFERROR(VLOOKUP(N21,中介表!$A$1:$C$21,2,FALSE),"")</f>
        <v>鬼使白</v>
      </c>
      <c r="O41" s="41" t="str">
        <f>IFERROR(VLOOKUP(O21,中介表!$A$1:$C$21,2,FALSE),"")</f>
        <v>马面</v>
      </c>
      <c r="P41" s="41" t="str">
        <f>IFERROR(VLOOKUP(P21,中介表!$A$1:$C$21,2,FALSE),"")</f>
        <v/>
      </c>
      <c r="Q41" s="41" t="str">
        <f>IFERROR(VLOOKUP(Q21,中介表!$A$1:$C$21,2,FALSE),"")</f>
        <v/>
      </c>
      <c r="R41" s="41" t="str">
        <f>IFERROR(VLOOKUP(R21,中介表!$A$1:$C$21,2,FALSE),"")</f>
        <v/>
      </c>
      <c r="S41" s="41" t="str">
        <f>IFERROR(VLOOKUP(S21,中介表!$A$1:$C$21,2,FALSE),"")</f>
        <v/>
      </c>
      <c r="T41" s="41" t="str">
        <f>IFERROR(VLOOKUP(T21,中介表!$A$1:$C$21,2,FALSE),"")</f>
        <v/>
      </c>
      <c r="U41" s="41" t="str">
        <f>IFERROR(VLOOKUP(U21,中介表!$A$1:$C$21,2,FALSE),"")</f>
        <v/>
      </c>
      <c r="V41" s="41" t="str">
        <f>IFERROR(VLOOKUP(V21,中介表!$A$1:$C$21,2,FALSE),"")</f>
        <v/>
      </c>
      <c r="W41" s="41" t="str">
        <f>IFERROR(VLOOKUP(W21,中介表!$A$1:$C$21,2,FALSE),"")</f>
        <v/>
      </c>
    </row>
    <row r="42" spans="1:23">
      <c r="A42" s="119" t="s">
        <v>61</v>
      </c>
      <c r="B42" s="40"/>
      <c r="C42" s="40" t="str">
        <f>IFERROR(VLOOKUP(C2,中介表!$A$1:$C$21,3,FALSE),"")</f>
        <v>斗战胜佛</v>
      </c>
      <c r="D42" s="40" t="str">
        <f>IFERROR(VLOOKUP(D2,中介表!$A$1:$C$21,3,FALSE),"")</f>
        <v>紫霞仙子</v>
      </c>
      <c r="E42" s="40" t="str">
        <f>IFERROR(VLOOKUP(E2,中介表!$A$1:$C$21,3,FALSE),"")</f>
        <v>弥勒佛</v>
      </c>
      <c r="F42" s="40" t="str">
        <f>IFERROR(VLOOKUP(F2,中介表!$A$1:$C$21,3,FALSE),"")</f>
        <v>文殊菩萨</v>
      </c>
      <c r="G42" s="40" t="str">
        <f>IFERROR(VLOOKUP(G2,中介表!$A$1:$C$21,3,FALSE),"")</f>
        <v/>
      </c>
      <c r="H42" s="40" t="str">
        <f>IFERROR(VLOOKUP(H2,中介表!$A$1:$C$21,3,FALSE),"")</f>
        <v>斗战胜佛</v>
      </c>
      <c r="I42" s="40" t="str">
        <f>IFERROR(VLOOKUP(I2,中介表!$A$1:$C$21,3,FALSE),"")</f>
        <v>紫霞仙子</v>
      </c>
      <c r="J42" s="40" t="str">
        <f>IFERROR(VLOOKUP(J2,中介表!$A$1:$C$21,3,FALSE),"")</f>
        <v>金蝉子</v>
      </c>
      <c r="K42" s="40" t="str">
        <f>IFERROR(VLOOKUP(K2,中介表!$A$1:$C$21,3,FALSE),"")</f>
        <v/>
      </c>
      <c r="L42" s="40" t="str">
        <f>IFERROR(VLOOKUP(L2,中介表!$A$1:$C$21,3,FALSE),"")</f>
        <v>斗战胜佛</v>
      </c>
      <c r="M42" s="40" t="str">
        <f>IFERROR(VLOOKUP(M2,中介表!$A$1:$C$21,3,FALSE),"")</f>
        <v>文殊菩萨</v>
      </c>
      <c r="N42" s="40" t="str">
        <f>IFERROR(VLOOKUP(N2,中介表!$A$1:$C$21,3,FALSE),"")</f>
        <v/>
      </c>
      <c r="O42" s="40" t="str">
        <f>IFERROR(VLOOKUP(O2,中介表!$A$1:$C$21,3,FALSE),"")</f>
        <v>斗战胜佛</v>
      </c>
      <c r="P42" s="40" t="str">
        <f>IFERROR(VLOOKUP(P2,中介表!$A$1:$C$21,3,FALSE),"")</f>
        <v>红孩儿</v>
      </c>
      <c r="Q42" s="40" t="str">
        <f>IFERROR(VLOOKUP(Q2,中介表!$A$1:$C$21,3,FALSE),"")</f>
        <v/>
      </c>
      <c r="R42" s="40" t="str">
        <f>IFERROR(VLOOKUP(R2,中介表!$A$1:$C$21,3,FALSE),"")</f>
        <v>斗战胜佛</v>
      </c>
      <c r="S42" s="40" t="str">
        <f>IFERROR(VLOOKUP(S2,中介表!$A$1:$C$21,3,FALSE),"")</f>
        <v>人参娃</v>
      </c>
      <c r="T42" s="40" t="str">
        <f>IFERROR(VLOOKUP(T2,中介表!$A$1:$C$21,3,FALSE),"")</f>
        <v/>
      </c>
      <c r="U42" s="40" t="str">
        <f>IFERROR(VLOOKUP(U2,中介表!$A$1:$C$21,3,FALSE),"")</f>
        <v>斗战胜佛</v>
      </c>
      <c r="V42" s="40" t="str">
        <f>IFERROR(VLOOKUP(V2,中介表!$A$1:$C$21,3,FALSE),"")</f>
        <v>唐三藏</v>
      </c>
      <c r="W42" s="40" t="str">
        <f>IFERROR(VLOOKUP(W2,中介表!$A$1:$C$21,3,FALSE),"")</f>
        <v/>
      </c>
    </row>
    <row r="43" spans="1:23">
      <c r="A43" s="119" t="s">
        <v>94</v>
      </c>
      <c r="B43" s="40"/>
      <c r="C43" s="40" t="str">
        <f>IFERROR(VLOOKUP(C3,中介表!$A$1:$C$21,3,FALSE),"")</f>
        <v>斗战胜佛</v>
      </c>
      <c r="D43" s="40" t="str">
        <f>IFERROR(VLOOKUP(D3,中介表!$A$1:$C$21,3,FALSE),"")</f>
        <v>紫霞仙子</v>
      </c>
      <c r="E43" s="40" t="str">
        <f>IFERROR(VLOOKUP(E3,中介表!$A$1:$C$21,3,FALSE),"")</f>
        <v>弥勒佛</v>
      </c>
      <c r="F43" s="40" t="str">
        <f>IFERROR(VLOOKUP(F3,中介表!$A$1:$C$21,3,FALSE),"")</f>
        <v>文殊菩萨</v>
      </c>
      <c r="G43" s="40" t="str">
        <f>IFERROR(VLOOKUP(G3,中介表!$A$1:$C$21,3,FALSE),"")</f>
        <v/>
      </c>
      <c r="H43" s="40" t="str">
        <f>IFERROR(VLOOKUP(H3,中介表!$A$1:$C$21,3,FALSE),"")</f>
        <v>斗战胜佛</v>
      </c>
      <c r="I43" s="40" t="str">
        <f>IFERROR(VLOOKUP(I3,中介表!$A$1:$C$21,3,FALSE),"")</f>
        <v>紫霞仙子</v>
      </c>
      <c r="J43" s="40" t="str">
        <f>IFERROR(VLOOKUP(J3,中介表!$A$1:$C$21,3,FALSE),"")</f>
        <v>金蝉子</v>
      </c>
      <c r="K43" s="40" t="str">
        <f>IFERROR(VLOOKUP(K3,中介表!$A$1:$C$21,3,FALSE),"")</f>
        <v/>
      </c>
      <c r="L43" s="40" t="str">
        <f>IFERROR(VLOOKUP(L3,中介表!$A$1:$C$21,3,FALSE),"")</f>
        <v>紫霞仙子</v>
      </c>
      <c r="M43" s="40" t="str">
        <f>IFERROR(VLOOKUP(M3,中介表!$A$1:$C$21,3,FALSE),"")</f>
        <v>文殊菩萨</v>
      </c>
      <c r="N43" s="40" t="str">
        <f>IFERROR(VLOOKUP(N3,中介表!$A$1:$C$21,3,FALSE),"")</f>
        <v/>
      </c>
      <c r="O43" s="40" t="str">
        <f>IFERROR(VLOOKUP(O3,中介表!$A$1:$C$21,3,FALSE),"")</f>
        <v>紫霞仙子</v>
      </c>
      <c r="P43" s="40" t="str">
        <f>IFERROR(VLOOKUP(P3,中介表!$A$1:$C$21,3,FALSE),"")</f>
        <v>引魂仙子</v>
      </c>
      <c r="Q43" s="40" t="str">
        <f>IFERROR(VLOOKUP(Q3,中介表!$A$1:$C$21,3,FALSE),"")</f>
        <v/>
      </c>
      <c r="R43" s="40" t="str">
        <f>IFERROR(VLOOKUP(R3,中介表!$A$1:$C$21,3,FALSE),"")</f>
        <v>紫霞仙子</v>
      </c>
      <c r="S43" s="40" t="str">
        <f>IFERROR(VLOOKUP(S3,中介表!$A$1:$C$21,3,FALSE),"")</f>
        <v>女儿国国王</v>
      </c>
      <c r="T43" s="40" t="str">
        <f>IFERROR(VLOOKUP(T3,中介表!$A$1:$C$21,3,FALSE),"")</f>
        <v/>
      </c>
      <c r="U43" s="40" t="str">
        <f>IFERROR(VLOOKUP(U3,中介表!$A$1:$C$21,3,FALSE),"")</f>
        <v>紫霞仙子</v>
      </c>
      <c r="V43" s="40" t="str">
        <f>IFERROR(VLOOKUP(V3,中介表!$A$1:$C$21,3,FALSE),"")</f>
        <v>迦叶</v>
      </c>
      <c r="W43" s="40" t="str">
        <f>IFERROR(VLOOKUP(W3,中介表!$A$1:$C$21,3,FALSE),"")</f>
        <v/>
      </c>
    </row>
    <row r="44" spans="1:23">
      <c r="A44" s="11" t="s">
        <v>44</v>
      </c>
      <c r="B44" s="40"/>
      <c r="C44" s="40" t="str">
        <f>IFERROR(VLOOKUP(C4,中介表!$A$1:$C$21,3,FALSE),"")</f>
        <v>八部天龙</v>
      </c>
      <c r="D44" s="40" t="str">
        <f>IFERROR(VLOOKUP(D4,中介表!$A$1:$C$21,3,FALSE),"")</f>
        <v>龙帝</v>
      </c>
      <c r="E44" s="40" t="str">
        <f>IFERROR(VLOOKUP(E4,中介表!$A$1:$C$21,3,FALSE),"")</f>
        <v>金蝉子</v>
      </c>
      <c r="F44" s="40" t="str">
        <f>IFERROR(VLOOKUP(F4,中介表!$A$1:$C$21,3,FALSE),"")</f>
        <v>观世音</v>
      </c>
      <c r="G44" s="40" t="str">
        <f>IFERROR(VLOOKUP(G4,中介表!$A$1:$C$21,3,FALSE),"")</f>
        <v/>
      </c>
      <c r="H44" s="40" t="str">
        <f>IFERROR(VLOOKUP(H4,中介表!$A$1:$C$21,3,FALSE),"")</f>
        <v>八部天龙</v>
      </c>
      <c r="I44" s="40" t="str">
        <f>IFERROR(VLOOKUP(I4,中介表!$A$1:$C$21,3,FALSE),"")</f>
        <v>龙帝</v>
      </c>
      <c r="J44" s="40" t="str">
        <f>IFERROR(VLOOKUP(J4,中介表!$A$1:$C$21,3,FALSE),"")</f>
        <v>弥勒佛</v>
      </c>
      <c r="K44" s="40" t="str">
        <f>IFERROR(VLOOKUP(K4,中介表!$A$1:$C$21,3,FALSE),"")</f>
        <v/>
      </c>
      <c r="L44" s="40" t="str">
        <f>IFERROR(VLOOKUP(L4,中介表!$A$1:$C$21,3,FALSE),"")</f>
        <v>八部天龙</v>
      </c>
      <c r="M44" s="40" t="str">
        <f>IFERROR(VLOOKUP(M4,中介表!$A$1:$C$21,3,FALSE),"")</f>
        <v>观世音</v>
      </c>
      <c r="N44" s="40" t="str">
        <f>IFERROR(VLOOKUP(N4,中介表!$A$1:$C$21,3,FALSE),"")</f>
        <v/>
      </c>
      <c r="O44" s="40" t="str">
        <f>IFERROR(VLOOKUP(O4,中介表!$A$1:$C$21,3,FALSE),"")</f>
        <v>八部天龙</v>
      </c>
      <c r="P44" s="40" t="str">
        <f>IFERROR(VLOOKUP(P4,中介表!$A$1:$C$21,3,FALSE),"")</f>
        <v>红孩儿</v>
      </c>
      <c r="Q44" s="40" t="str">
        <f>IFERROR(VLOOKUP(Q4,中介表!$A$1:$C$21,3,FALSE),"")</f>
        <v/>
      </c>
      <c r="R44" s="40" t="str">
        <f>IFERROR(VLOOKUP(R4,中介表!$A$1:$C$21,3,FALSE),"")</f>
        <v>八部天龙</v>
      </c>
      <c r="S44" s="40" t="str">
        <f>IFERROR(VLOOKUP(S4,中介表!$A$1:$C$21,3,FALSE),"")</f>
        <v>人参娃</v>
      </c>
      <c r="T44" s="40" t="str">
        <f>IFERROR(VLOOKUP(T4,中介表!$A$1:$C$21,3,FALSE),"")</f>
        <v/>
      </c>
      <c r="U44" s="40" t="str">
        <f>IFERROR(VLOOKUP(U4,中介表!$A$1:$C$21,3,FALSE),"")</f>
        <v>八部天龙</v>
      </c>
      <c r="V44" s="40" t="str">
        <f>IFERROR(VLOOKUP(V4,中介表!$A$1:$C$21,3,FALSE),"")</f>
        <v>女儿国国王</v>
      </c>
      <c r="W44" s="40" t="str">
        <f>IFERROR(VLOOKUP(W4,中介表!$A$1:$C$21,3,FALSE),"")</f>
        <v/>
      </c>
    </row>
    <row r="45" spans="1:23">
      <c r="A45" s="11" t="s">
        <v>40</v>
      </c>
      <c r="B45" s="40"/>
      <c r="C45" s="40" t="str">
        <f>IFERROR(VLOOKUP(C5,中介表!$A$1:$C$21,3,FALSE),"")</f>
        <v>八部天龙</v>
      </c>
      <c r="D45" s="40" t="str">
        <f>IFERROR(VLOOKUP(D5,中介表!$A$1:$C$21,3,FALSE),"")</f>
        <v>龙帝</v>
      </c>
      <c r="E45" s="40" t="str">
        <f>IFERROR(VLOOKUP(E5,中介表!$A$1:$C$21,3,FALSE),"")</f>
        <v>金蝉子</v>
      </c>
      <c r="F45" s="40" t="str">
        <f>IFERROR(VLOOKUP(F5,中介表!$A$1:$C$21,3,FALSE),"")</f>
        <v>观世音</v>
      </c>
      <c r="G45" s="40" t="str">
        <f>IFERROR(VLOOKUP(G5,中介表!$A$1:$C$21,3,FALSE),"")</f>
        <v/>
      </c>
      <c r="H45" s="40" t="str">
        <f>IFERROR(VLOOKUP(H5,中介表!$A$1:$C$21,3,FALSE),"")</f>
        <v>八部天龙</v>
      </c>
      <c r="I45" s="40" t="str">
        <f>IFERROR(VLOOKUP(I5,中介表!$A$1:$C$21,3,FALSE),"")</f>
        <v>龙帝</v>
      </c>
      <c r="J45" s="40" t="str">
        <f>IFERROR(VLOOKUP(J5,中介表!$A$1:$C$21,3,FALSE),"")</f>
        <v>弥勒佛</v>
      </c>
      <c r="K45" s="40" t="str">
        <f>IFERROR(VLOOKUP(K5,中介表!$A$1:$C$21,3,FALSE),"")</f>
        <v/>
      </c>
      <c r="L45" s="40" t="str">
        <f>IFERROR(VLOOKUP(L5,中介表!$A$1:$C$21,3,FALSE),"")</f>
        <v>龙帝</v>
      </c>
      <c r="M45" s="40" t="str">
        <f>IFERROR(VLOOKUP(M5,中介表!$A$1:$C$21,3,FALSE),"")</f>
        <v>观世音</v>
      </c>
      <c r="N45" s="40" t="str">
        <f>IFERROR(VLOOKUP(N5,中介表!$A$1:$C$21,3,FALSE),"")</f>
        <v/>
      </c>
      <c r="O45" s="40" t="str">
        <f>IFERROR(VLOOKUP(O5,中介表!$A$1:$C$21,3,FALSE),"")</f>
        <v>龙帝</v>
      </c>
      <c r="P45" s="40" t="str">
        <f>IFERROR(VLOOKUP(P5,中介表!$A$1:$C$21,3,FALSE),"")</f>
        <v>引魂仙子</v>
      </c>
      <c r="Q45" s="40" t="str">
        <f>IFERROR(VLOOKUP(Q5,中介表!$A$1:$C$21,3,FALSE),"")</f>
        <v/>
      </c>
      <c r="R45" s="40" t="str">
        <f>IFERROR(VLOOKUP(R5,中介表!$A$1:$C$21,3,FALSE),"")</f>
        <v>龙帝</v>
      </c>
      <c r="S45" s="40" t="str">
        <f>IFERROR(VLOOKUP(S5,中介表!$A$1:$C$21,3,FALSE),"")</f>
        <v>女儿国国王</v>
      </c>
      <c r="T45" s="40" t="str">
        <f>IFERROR(VLOOKUP(T5,中介表!$A$1:$C$21,3,FALSE),"")</f>
        <v/>
      </c>
      <c r="U45" s="40" t="str">
        <f>IFERROR(VLOOKUP(U5,中介表!$A$1:$C$21,3,FALSE),"")</f>
        <v>龙帝</v>
      </c>
      <c r="V45" s="40" t="str">
        <f>IFERROR(VLOOKUP(V5,中介表!$A$1:$C$21,3,FALSE),"")</f>
        <v>红孩儿</v>
      </c>
      <c r="W45" s="40" t="str">
        <f>IFERROR(VLOOKUP(W5,中介表!$A$1:$C$21,3,FALSE),"")</f>
        <v/>
      </c>
    </row>
    <row r="46" spans="1:23">
      <c r="A46" s="112" t="s">
        <v>77</v>
      </c>
      <c r="B46" s="40"/>
      <c r="C46" s="40" t="str">
        <f>IFERROR(VLOOKUP(C6,中介表!$A$1:$C$21,3,FALSE),"")</f>
        <v>斗战胜佛</v>
      </c>
      <c r="D46" s="40" t="str">
        <f>IFERROR(VLOOKUP(D6,中介表!$A$1:$C$21,3,FALSE),"")</f>
        <v>紫霞仙子</v>
      </c>
      <c r="E46" s="40" t="str">
        <f>IFERROR(VLOOKUP(E6,中介表!$A$1:$C$21,3,FALSE),"")</f>
        <v>弥勒佛</v>
      </c>
      <c r="F46" s="40" t="str">
        <f>IFERROR(VLOOKUP(F6,中介表!$A$1:$C$21,3,FALSE),"")</f>
        <v>文殊菩萨</v>
      </c>
      <c r="G46" s="40" t="str">
        <f>IFERROR(VLOOKUP(G6,中介表!$A$1:$C$21,3,FALSE),"")</f>
        <v/>
      </c>
      <c r="H46" s="40" t="str">
        <f>IFERROR(VLOOKUP(H6,中介表!$A$1:$C$21,3,FALSE),"")</f>
        <v>八部天龙</v>
      </c>
      <c r="I46" s="40" t="str">
        <f>IFERROR(VLOOKUP(I6,中介表!$A$1:$C$21,3,FALSE),"")</f>
        <v>龙帝</v>
      </c>
      <c r="J46" s="40" t="str">
        <f>IFERROR(VLOOKUP(J6,中介表!$A$1:$C$21,3,FALSE),"")</f>
        <v>弥勒佛</v>
      </c>
      <c r="K46" s="40" t="str">
        <f>IFERROR(VLOOKUP(K6,中介表!$A$1:$C$21,3,FALSE),"")</f>
        <v/>
      </c>
      <c r="L46" s="40" t="str">
        <f>IFERROR(VLOOKUP(L6,中介表!$A$1:$C$21,3,FALSE),"")</f>
        <v>弥勒佛</v>
      </c>
      <c r="M46" s="40" t="str">
        <f>IFERROR(VLOOKUP(M6,中介表!$A$1:$C$21,3,FALSE),"")</f>
        <v>文殊菩萨</v>
      </c>
      <c r="N46" s="40" t="str">
        <f>IFERROR(VLOOKUP(N6,中介表!$A$1:$C$21,3,FALSE),"")</f>
        <v>观世音</v>
      </c>
      <c r="O46" s="40" t="str">
        <f>IFERROR(VLOOKUP(O6,中介表!$A$1:$C$21,3,FALSE),"")</f>
        <v/>
      </c>
      <c r="P46" s="40" t="str">
        <f>IFERROR(VLOOKUP(P6,中介表!$A$1:$C$21,3,FALSE),"")</f>
        <v>弥勒佛</v>
      </c>
      <c r="Q46" s="40" t="str">
        <f>IFERROR(VLOOKUP(Q6,中介表!$A$1:$C$21,3,FALSE),"")</f>
        <v>唐三藏</v>
      </c>
      <c r="R46" s="40" t="str">
        <f>IFERROR(VLOOKUP(R6,中介表!$A$1:$C$21,3,FALSE),"")</f>
        <v/>
      </c>
      <c r="S46" s="40" t="str">
        <f>IFERROR(VLOOKUP(S6,中介表!$A$1:$C$21,3,FALSE),"")</f>
        <v>弥勒佛</v>
      </c>
      <c r="T46" s="40" t="str">
        <f>IFERROR(VLOOKUP(T6,中介表!$A$1:$C$21,3,FALSE),"")</f>
        <v>迦叶</v>
      </c>
      <c r="U46" s="40" t="str">
        <f>IFERROR(VLOOKUP(U6,中介表!$A$1:$C$21,3,FALSE),"")</f>
        <v/>
      </c>
      <c r="V46" s="40" t="str">
        <f>IFERROR(VLOOKUP(V6,中介表!$A$1:$C$21,3,FALSE),"")</f>
        <v>金蝉子</v>
      </c>
      <c r="W46" s="40" t="str">
        <f>IFERROR(VLOOKUP(W6,中介表!$A$1:$C$21,3,FALSE),"")</f>
        <v>弥勒佛</v>
      </c>
    </row>
    <row r="47" spans="1:23">
      <c r="A47" s="112" t="s">
        <v>42</v>
      </c>
      <c r="B47" s="40"/>
      <c r="C47" s="40" t="str">
        <f>IFERROR(VLOOKUP(C7,中介表!$A$1:$C$21,3,FALSE),"")</f>
        <v>八部天龙</v>
      </c>
      <c r="D47" s="40" t="str">
        <f>IFERROR(VLOOKUP(D7,中介表!$A$1:$C$21,3,FALSE),"")</f>
        <v>龙帝</v>
      </c>
      <c r="E47" s="40" t="str">
        <f>IFERROR(VLOOKUP(E7,中介表!$A$1:$C$21,3,FALSE),"")</f>
        <v>金蝉子</v>
      </c>
      <c r="F47" s="40" t="str">
        <f>IFERROR(VLOOKUP(F7,中介表!$A$1:$C$21,3,FALSE),"")</f>
        <v>观世音</v>
      </c>
      <c r="G47" s="40" t="str">
        <f>IFERROR(VLOOKUP(G7,中介表!$A$1:$C$21,3,FALSE),"")</f>
        <v/>
      </c>
      <c r="H47" s="40" t="str">
        <f>IFERROR(VLOOKUP(H7,中介表!$A$1:$C$21,3,FALSE),"")</f>
        <v>斗战胜佛</v>
      </c>
      <c r="I47" s="40" t="str">
        <f>IFERROR(VLOOKUP(I7,中介表!$A$1:$C$21,3,FALSE),"")</f>
        <v>紫霞仙子</v>
      </c>
      <c r="J47" s="40" t="str">
        <f>IFERROR(VLOOKUP(J7,中介表!$A$1:$C$21,3,FALSE),"")</f>
        <v>金蝉子</v>
      </c>
      <c r="K47" s="40" t="str">
        <f>IFERROR(VLOOKUP(K7,中介表!$A$1:$C$21,3,FALSE),"")</f>
        <v/>
      </c>
      <c r="L47" s="40" t="str">
        <f>IFERROR(VLOOKUP(L7,中介表!$A$1:$C$21,3,FALSE),"")</f>
        <v>金蝉子</v>
      </c>
      <c r="M47" s="40" t="str">
        <f>IFERROR(VLOOKUP(M7,中介表!$A$1:$C$21,3,FALSE),"")</f>
        <v>文殊菩萨</v>
      </c>
      <c r="N47" s="40" t="str">
        <f>IFERROR(VLOOKUP(N7,中介表!$A$1:$C$21,3,FALSE),"")</f>
        <v>观世音</v>
      </c>
      <c r="O47" s="40" t="str">
        <f>IFERROR(VLOOKUP(O7,中介表!$A$1:$C$21,3,FALSE),"")</f>
        <v/>
      </c>
      <c r="P47" s="40" t="str">
        <f>IFERROR(VLOOKUP(P7,中介表!$A$1:$C$21,3,FALSE),"")</f>
        <v>金蝉子</v>
      </c>
      <c r="Q47" s="40" t="str">
        <f>IFERROR(VLOOKUP(Q7,中介表!$A$1:$C$21,3,FALSE),"")</f>
        <v>唐三藏</v>
      </c>
      <c r="R47" s="40" t="str">
        <f>IFERROR(VLOOKUP(R7,中介表!$A$1:$C$21,3,FALSE),"")</f>
        <v/>
      </c>
      <c r="S47" s="40" t="str">
        <f>IFERROR(VLOOKUP(S7,中介表!$A$1:$C$21,3,FALSE),"")</f>
        <v>金蝉子</v>
      </c>
      <c r="T47" s="40" t="str">
        <f>IFERROR(VLOOKUP(T7,中介表!$A$1:$C$21,3,FALSE),"")</f>
        <v>迦叶</v>
      </c>
      <c r="U47" s="40" t="str">
        <f>IFERROR(VLOOKUP(U7,中介表!$A$1:$C$21,3,FALSE),"")</f>
        <v/>
      </c>
      <c r="V47" s="40" t="str">
        <f>IFERROR(VLOOKUP(V7,中介表!$A$1:$C$21,3,FALSE),"")</f>
        <v>金蝉子</v>
      </c>
      <c r="W47" s="40" t="str">
        <f>IFERROR(VLOOKUP(W7,中介表!$A$1:$C$21,3,FALSE),"")</f>
        <v>弥勒佛</v>
      </c>
    </row>
    <row r="48" spans="1:23">
      <c r="A48" s="11" t="s">
        <v>86</v>
      </c>
      <c r="B48" s="40"/>
      <c r="C48" s="40" t="str">
        <f>IFERROR(VLOOKUP(C8,中介表!$A$1:$C$21,3,FALSE),"")</f>
        <v>斗战胜佛</v>
      </c>
      <c r="D48" s="40" t="str">
        <f>IFERROR(VLOOKUP(D8,中介表!$A$1:$C$21,3,FALSE),"")</f>
        <v>紫霞仙子</v>
      </c>
      <c r="E48" s="40" t="str">
        <f>IFERROR(VLOOKUP(E8,中介表!$A$1:$C$21,3,FALSE),"")</f>
        <v>弥勒佛</v>
      </c>
      <c r="F48" s="40" t="str">
        <f>IFERROR(VLOOKUP(F8,中介表!$A$1:$C$21,3,FALSE),"")</f>
        <v>文殊菩萨</v>
      </c>
      <c r="G48" s="40" t="str">
        <f>IFERROR(VLOOKUP(G8,中介表!$A$1:$C$21,3,FALSE),"")</f>
        <v/>
      </c>
      <c r="H48" s="40" t="str">
        <f>IFERROR(VLOOKUP(H8,中介表!$A$1:$C$21,3,FALSE),"")</f>
        <v>金蝉子</v>
      </c>
      <c r="I48" s="40" t="str">
        <f>IFERROR(VLOOKUP(I8,中介表!$A$1:$C$21,3,FALSE),"")</f>
        <v>文殊菩萨</v>
      </c>
      <c r="J48" s="40" t="str">
        <f>IFERROR(VLOOKUP(J8,中介表!$A$1:$C$21,3,FALSE),"")</f>
        <v>观世音</v>
      </c>
      <c r="K48" s="40" t="str">
        <f>IFERROR(VLOOKUP(K8,中介表!$A$1:$C$21,3,FALSE),"")</f>
        <v/>
      </c>
      <c r="L48" s="40" t="str">
        <f>IFERROR(VLOOKUP(L8,中介表!$A$1:$C$21,3,FALSE),"")</f>
        <v>弥勒佛</v>
      </c>
      <c r="M48" s="40" t="str">
        <f>IFERROR(VLOOKUP(M8,中介表!$A$1:$C$21,3,FALSE),"")</f>
        <v>文殊菩萨</v>
      </c>
      <c r="N48" s="40" t="str">
        <f>IFERROR(VLOOKUP(N8,中介表!$A$1:$C$21,3,FALSE),"")</f>
        <v>观世音</v>
      </c>
      <c r="O48" s="40" t="str">
        <f>IFERROR(VLOOKUP(O8,中介表!$A$1:$C$21,3,FALSE),"")</f>
        <v/>
      </c>
      <c r="P48" s="40" t="str">
        <f>IFERROR(VLOOKUP(P8,中介表!$A$1:$C$21,3,FALSE),"")</f>
        <v>斗战胜佛</v>
      </c>
      <c r="Q48" s="40" t="str">
        <f>IFERROR(VLOOKUP(Q8,中介表!$A$1:$C$21,3,FALSE),"")</f>
        <v>文殊菩萨</v>
      </c>
      <c r="R48" s="40" t="str">
        <f>IFERROR(VLOOKUP(R8,中介表!$A$1:$C$21,3,FALSE),"")</f>
        <v/>
      </c>
      <c r="S48" s="40" t="str">
        <f>IFERROR(VLOOKUP(S8,中介表!$A$1:$C$21,3,FALSE),"")</f>
        <v>紫霞仙子</v>
      </c>
      <c r="T48" s="40" t="str">
        <f>IFERROR(VLOOKUP(T8,中介表!$A$1:$C$21,3,FALSE),"")</f>
        <v>文殊菩萨</v>
      </c>
      <c r="U48" s="40" t="str">
        <f>IFERROR(VLOOKUP(U8,中介表!$A$1:$C$21,3,FALSE),"")</f>
        <v/>
      </c>
      <c r="V48" s="40" t="str">
        <f>IFERROR(VLOOKUP(V8,中介表!$A$1:$C$21,3,FALSE),"")</f>
        <v/>
      </c>
      <c r="W48" s="40" t="str">
        <f>IFERROR(VLOOKUP(W8,中介表!$A$1:$C$21,3,FALSE),"")</f>
        <v/>
      </c>
    </row>
    <row r="49" spans="1:23">
      <c r="A49" s="26" t="s">
        <v>78</v>
      </c>
      <c r="B49" s="40"/>
      <c r="C49" s="40" t="str">
        <f>IFERROR(VLOOKUP(C9,中介表!$A$1:$C$21,3,FALSE),"")</f>
        <v>八部天龙</v>
      </c>
      <c r="D49" s="40" t="str">
        <f>IFERROR(VLOOKUP(D9,中介表!$A$1:$C$21,3,FALSE),"")</f>
        <v>龙帝</v>
      </c>
      <c r="E49" s="40" t="str">
        <f>IFERROR(VLOOKUP(E9,中介表!$A$1:$C$21,3,FALSE),"")</f>
        <v>金蝉子</v>
      </c>
      <c r="F49" s="40" t="str">
        <f>IFERROR(VLOOKUP(F9,中介表!$A$1:$C$21,3,FALSE),"")</f>
        <v>观世音</v>
      </c>
      <c r="G49" s="40" t="str">
        <f>IFERROR(VLOOKUP(G9,中介表!$A$1:$C$21,3,FALSE),"")</f>
        <v/>
      </c>
      <c r="H49" s="40" t="str">
        <f>IFERROR(VLOOKUP(H9,中介表!$A$1:$C$21,3,FALSE),"")</f>
        <v>金蝉子</v>
      </c>
      <c r="I49" s="40" t="str">
        <f>IFERROR(VLOOKUP(I9,中介表!$A$1:$C$21,3,FALSE),"")</f>
        <v>文殊菩萨</v>
      </c>
      <c r="J49" s="40" t="str">
        <f>IFERROR(VLOOKUP(J9,中介表!$A$1:$C$21,3,FALSE),"")</f>
        <v>观世音</v>
      </c>
      <c r="K49" s="40" t="str">
        <f>IFERROR(VLOOKUP(K9,中介表!$A$1:$C$21,3,FALSE),"")</f>
        <v/>
      </c>
      <c r="L49" s="40" t="str">
        <f>IFERROR(VLOOKUP(L9,中介表!$A$1:$C$21,3,FALSE),"")</f>
        <v>弥勒佛</v>
      </c>
      <c r="M49" s="40" t="str">
        <f>IFERROR(VLOOKUP(M9,中介表!$A$1:$C$21,3,FALSE),"")</f>
        <v>文殊菩萨</v>
      </c>
      <c r="N49" s="40" t="str">
        <f>IFERROR(VLOOKUP(N9,中介表!$A$1:$C$21,3,FALSE),"")</f>
        <v>观世音</v>
      </c>
      <c r="O49" s="40" t="str">
        <f>IFERROR(VLOOKUP(O9,中介表!$A$1:$C$21,3,FALSE),"")</f>
        <v/>
      </c>
      <c r="P49" s="40" t="str">
        <f>IFERROR(VLOOKUP(P9,中介表!$A$1:$C$21,3,FALSE),"")</f>
        <v>八部天龙</v>
      </c>
      <c r="Q49" s="40" t="str">
        <f>IFERROR(VLOOKUP(Q9,中介表!$A$1:$C$21,3,FALSE),"")</f>
        <v>观世音</v>
      </c>
      <c r="R49" s="40" t="str">
        <f>IFERROR(VLOOKUP(R9,中介表!$A$1:$C$21,3,FALSE),"")</f>
        <v/>
      </c>
      <c r="S49" s="40" t="str">
        <f>IFERROR(VLOOKUP(S9,中介表!$A$1:$C$21,3,FALSE),"")</f>
        <v>龙帝</v>
      </c>
      <c r="T49" s="40" t="str">
        <f>IFERROR(VLOOKUP(T9,中介表!$A$1:$C$21,3,FALSE),"")</f>
        <v>观世音</v>
      </c>
      <c r="U49" s="40" t="str">
        <f>IFERROR(VLOOKUP(U9,中介表!$A$1:$C$21,3,FALSE),"")</f>
        <v/>
      </c>
      <c r="V49" s="40" t="str">
        <f>IFERROR(VLOOKUP(V9,中介表!$A$1:$C$21,3,FALSE),"")</f>
        <v/>
      </c>
      <c r="W49" s="40" t="str">
        <f>IFERROR(VLOOKUP(W9,中介表!$A$1:$C$21,3,FALSE),"")</f>
        <v/>
      </c>
    </row>
    <row r="50" spans="1:23">
      <c r="A50" s="116" t="s">
        <v>8</v>
      </c>
      <c r="B50" s="40"/>
      <c r="C50" s="40" t="str">
        <f>IFERROR(VLOOKUP(C10,中介表!$A$1:$C$21,3,FALSE),"")</f>
        <v>唐三藏</v>
      </c>
      <c r="D50" s="40" t="str">
        <f>IFERROR(VLOOKUP(D10,中介表!$A$1:$C$21,3,FALSE),"")</f>
        <v>迦叶</v>
      </c>
      <c r="E50" s="40" t="str">
        <f>IFERROR(VLOOKUP(E10,中介表!$A$1:$C$21,3,FALSE),"")</f>
        <v>女儿国国王</v>
      </c>
      <c r="F50" s="40" t="str">
        <f>IFERROR(VLOOKUP(F10,中介表!$A$1:$C$21,3,FALSE),"")</f>
        <v/>
      </c>
      <c r="G50" s="40" t="str">
        <f>IFERROR(VLOOKUP(G10,中介表!$A$1:$C$21,3,FALSE),"")</f>
        <v>唐三藏</v>
      </c>
      <c r="H50" s="40" t="str">
        <f>IFERROR(VLOOKUP(H10,中介表!$A$1:$C$21,3,FALSE),"")</f>
        <v>引魂仙子</v>
      </c>
      <c r="I50" s="40" t="str">
        <f>IFERROR(VLOOKUP(I10,中介表!$A$1:$C$21,3,FALSE),"")</f>
        <v>人参娃</v>
      </c>
      <c r="J50" s="40" t="str">
        <f>IFERROR(VLOOKUP(J10,中介表!$A$1:$C$21,3,FALSE),"")</f>
        <v/>
      </c>
      <c r="K50" s="40" t="str">
        <f>IFERROR(VLOOKUP(K10,中介表!$A$1:$C$21,3,FALSE),"")</f>
        <v>金蝉子</v>
      </c>
      <c r="L50" s="40" t="str">
        <f>IFERROR(VLOOKUP(L10,中介表!$A$1:$C$21,3,FALSE),"")</f>
        <v>唐三藏</v>
      </c>
      <c r="M50" s="40" t="str">
        <f>IFERROR(VLOOKUP(M10,中介表!$A$1:$C$21,3,FALSE),"")</f>
        <v/>
      </c>
      <c r="N50" s="40" t="str">
        <f>IFERROR(VLOOKUP(N10,中介表!$A$1:$C$21,3,FALSE),"")</f>
        <v>弥勒佛</v>
      </c>
      <c r="O50" s="40" t="str">
        <f>IFERROR(VLOOKUP(O10,中介表!$A$1:$C$21,3,FALSE),"")</f>
        <v>唐三藏</v>
      </c>
      <c r="P50" s="40" t="str">
        <f>IFERROR(VLOOKUP(P10,中介表!$A$1:$C$21,3,FALSE),"")</f>
        <v/>
      </c>
      <c r="Q50" s="40" t="str">
        <f>IFERROR(VLOOKUP(Q10,中介表!$A$1:$C$21,3,FALSE),"")</f>
        <v>斗战胜佛</v>
      </c>
      <c r="R50" s="40" t="str">
        <f>IFERROR(VLOOKUP(R10,中介表!$A$1:$C$21,3,FALSE),"")</f>
        <v>唐三藏</v>
      </c>
      <c r="S50" s="40" t="str">
        <f>IFERROR(VLOOKUP(S10,中介表!$A$1:$C$21,3,FALSE),"")</f>
        <v/>
      </c>
      <c r="T50" s="40" t="str">
        <f>IFERROR(VLOOKUP(T10,中介表!$A$1:$C$21,3,FALSE),"")</f>
        <v/>
      </c>
      <c r="U50" s="40" t="str">
        <f>IFERROR(VLOOKUP(U10,中介表!$A$1:$C$21,3,FALSE),"")</f>
        <v/>
      </c>
      <c r="V50" s="40" t="str">
        <f>IFERROR(VLOOKUP(V10,中介表!$A$1:$C$21,3,FALSE),"")</f>
        <v/>
      </c>
      <c r="W50" s="40" t="str">
        <f>IFERROR(VLOOKUP(W10,中介表!$A$1:$C$21,3,FALSE),"")</f>
        <v/>
      </c>
    </row>
    <row r="51" spans="1:23">
      <c r="A51" s="26" t="s">
        <v>25</v>
      </c>
      <c r="B51" s="40"/>
      <c r="C51" s="40" t="str">
        <f>IFERROR(VLOOKUP(C11,中介表!$A$1:$C$21,3,FALSE),"")</f>
        <v>红孩儿</v>
      </c>
      <c r="D51" s="40" t="str">
        <f>IFERROR(VLOOKUP(D11,中介表!$A$1:$C$21,3,FALSE),"")</f>
        <v>引魂仙子</v>
      </c>
      <c r="E51" s="40" t="str">
        <f>IFERROR(VLOOKUP(E11,中介表!$A$1:$C$21,3,FALSE),"")</f>
        <v>女儿国国王</v>
      </c>
      <c r="F51" s="40" t="str">
        <f>IFERROR(VLOOKUP(F11,中介表!$A$1:$C$21,3,FALSE),"")</f>
        <v/>
      </c>
      <c r="G51" s="40" t="str">
        <f>IFERROR(VLOOKUP(G11,中介表!$A$1:$C$21,3,FALSE),"")</f>
        <v>迦叶</v>
      </c>
      <c r="H51" s="40" t="str">
        <f>IFERROR(VLOOKUP(H11,中介表!$A$1:$C$21,3,FALSE),"")</f>
        <v>人参娃</v>
      </c>
      <c r="I51" s="40" t="str">
        <f>IFERROR(VLOOKUP(I11,中介表!$A$1:$C$21,3,FALSE),"")</f>
        <v>红孩儿</v>
      </c>
      <c r="J51" s="40" t="str">
        <f>IFERROR(VLOOKUP(J11,中介表!$A$1:$C$21,3,FALSE),"")</f>
        <v/>
      </c>
      <c r="K51" s="40" t="str">
        <f>IFERROR(VLOOKUP(K11,中介表!$A$1:$C$21,3,FALSE),"")</f>
        <v>斗战胜佛</v>
      </c>
      <c r="L51" s="40" t="str">
        <f>IFERROR(VLOOKUP(L11,中介表!$A$1:$C$21,3,FALSE),"")</f>
        <v>红孩儿</v>
      </c>
      <c r="M51" s="40" t="str">
        <f>IFERROR(VLOOKUP(M11,中介表!$A$1:$C$21,3,FALSE),"")</f>
        <v/>
      </c>
      <c r="N51" s="40" t="str">
        <f>IFERROR(VLOOKUP(N11,中介表!$A$1:$C$21,3,FALSE),"")</f>
        <v>八部天龙</v>
      </c>
      <c r="O51" s="40" t="str">
        <f>IFERROR(VLOOKUP(O11,中介表!$A$1:$C$21,3,FALSE),"")</f>
        <v>红孩儿</v>
      </c>
      <c r="P51" s="40" t="str">
        <f>IFERROR(VLOOKUP(P11,中介表!$A$1:$C$21,3,FALSE),"")</f>
        <v/>
      </c>
      <c r="Q51" s="40" t="str">
        <f>IFERROR(VLOOKUP(Q11,中介表!$A$1:$C$21,3,FALSE),"")</f>
        <v>龙帝</v>
      </c>
      <c r="R51" s="40" t="str">
        <f>IFERROR(VLOOKUP(R11,中介表!$A$1:$C$21,3,FALSE),"")</f>
        <v>红孩儿</v>
      </c>
      <c r="S51" s="40" t="str">
        <f>IFERROR(VLOOKUP(S11,中介表!$A$1:$C$21,3,FALSE),"")</f>
        <v/>
      </c>
      <c r="T51" s="40" t="str">
        <f>IFERROR(VLOOKUP(T11,中介表!$A$1:$C$21,3,FALSE),"")</f>
        <v/>
      </c>
      <c r="U51" s="40" t="str">
        <f>IFERROR(VLOOKUP(U11,中介表!$A$1:$C$21,3,FALSE),"")</f>
        <v/>
      </c>
      <c r="V51" s="40" t="str">
        <f>IFERROR(VLOOKUP(V11,中介表!$A$1:$C$21,3,FALSE),"")</f>
        <v/>
      </c>
      <c r="W51" s="40" t="str">
        <f>IFERROR(VLOOKUP(W11,中介表!$A$1:$C$21,3,FALSE),"")</f>
        <v/>
      </c>
    </row>
    <row r="52" spans="1:23">
      <c r="A52" s="116" t="s">
        <v>762</v>
      </c>
      <c r="B52" s="40"/>
      <c r="C52" s="40" t="str">
        <f>IFERROR(VLOOKUP(C12,中介表!$A$1:$C$21,3,FALSE),"")</f>
        <v>唐三藏</v>
      </c>
      <c r="D52" s="40" t="str">
        <f>IFERROR(VLOOKUP(D12,中介表!$A$1:$C$21,3,FALSE),"")</f>
        <v>迦叶</v>
      </c>
      <c r="E52" s="40" t="str">
        <f>IFERROR(VLOOKUP(E12,中介表!$A$1:$C$21,3,FALSE),"")</f>
        <v>女儿国国王</v>
      </c>
      <c r="F52" s="40" t="str">
        <f>IFERROR(VLOOKUP(F12,中介表!$A$1:$C$21,3,FALSE),"")</f>
        <v/>
      </c>
      <c r="G52" s="40" t="str">
        <f>IFERROR(VLOOKUP(G12,中介表!$A$1:$C$21,3,FALSE),"")</f>
        <v>迦叶</v>
      </c>
      <c r="H52" s="40" t="str">
        <f>IFERROR(VLOOKUP(H12,中介表!$A$1:$C$21,3,FALSE),"")</f>
        <v>人参娃</v>
      </c>
      <c r="I52" s="40" t="str">
        <f>IFERROR(VLOOKUP(I12,中介表!$A$1:$C$21,3,FALSE),"")</f>
        <v>红孩儿</v>
      </c>
      <c r="J52" s="40" t="str">
        <f>IFERROR(VLOOKUP(J12,中介表!$A$1:$C$21,3,FALSE),"")</f>
        <v/>
      </c>
      <c r="K52" s="40" t="str">
        <f>IFERROR(VLOOKUP(K12,中介表!$A$1:$C$21,3,FALSE),"")</f>
        <v>金蝉子</v>
      </c>
      <c r="L52" s="40" t="str">
        <f>IFERROR(VLOOKUP(L12,中介表!$A$1:$C$21,3,FALSE),"")</f>
        <v>迦叶</v>
      </c>
      <c r="M52" s="40" t="str">
        <f>IFERROR(VLOOKUP(M12,中介表!$A$1:$C$21,3,FALSE),"")</f>
        <v/>
      </c>
      <c r="N52" s="40" t="str">
        <f>IFERROR(VLOOKUP(N12,中介表!$A$1:$C$21,3,FALSE),"")</f>
        <v>弥勒佛</v>
      </c>
      <c r="O52" s="40" t="str">
        <f>IFERROR(VLOOKUP(O12,中介表!$A$1:$C$21,3,FALSE),"")</f>
        <v>迦叶</v>
      </c>
      <c r="P52" s="40" t="str">
        <f>IFERROR(VLOOKUP(P12,中介表!$A$1:$C$21,3,FALSE),"")</f>
        <v/>
      </c>
      <c r="Q52" s="40" t="str">
        <f>IFERROR(VLOOKUP(Q12,中介表!$A$1:$C$21,3,FALSE),"")</f>
        <v>紫霞仙子</v>
      </c>
      <c r="R52" s="40" t="str">
        <f>IFERROR(VLOOKUP(R12,中介表!$A$1:$C$21,3,FALSE),"")</f>
        <v>迦叶</v>
      </c>
      <c r="S52" s="40" t="str">
        <f>IFERROR(VLOOKUP(S12,中介表!$A$1:$C$21,3,FALSE),"")</f>
        <v/>
      </c>
      <c r="T52" s="40" t="str">
        <f>IFERROR(VLOOKUP(T12,中介表!$A$1:$C$21,3,FALSE),"")</f>
        <v/>
      </c>
      <c r="U52" s="40" t="str">
        <f>IFERROR(VLOOKUP(U12,中介表!$A$1:$C$21,3,FALSE),"")</f>
        <v/>
      </c>
      <c r="V52" s="40" t="str">
        <f>IFERROR(VLOOKUP(V12,中介表!$A$1:$C$21,3,FALSE),"")</f>
        <v/>
      </c>
      <c r="W52" s="40" t="str">
        <f>IFERROR(VLOOKUP(W12,中介表!$A$1:$C$21,3,FALSE),"")</f>
        <v/>
      </c>
    </row>
    <row r="53" spans="1:23">
      <c r="A53" s="26" t="s">
        <v>21</v>
      </c>
      <c r="B53" s="40"/>
      <c r="C53" s="40" t="str">
        <f>IFERROR(VLOOKUP(C13,中介表!$A$1:$C$21,3,FALSE),"")</f>
        <v>红孩儿</v>
      </c>
      <c r="D53" s="40" t="str">
        <f>IFERROR(VLOOKUP(D13,中介表!$A$1:$C$21,3,FALSE),"")</f>
        <v>引魂仙子</v>
      </c>
      <c r="E53" s="40" t="str">
        <f>IFERROR(VLOOKUP(E13,中介表!$A$1:$C$21,3,FALSE),"")</f>
        <v>女儿国国王</v>
      </c>
      <c r="F53" s="40" t="str">
        <f>IFERROR(VLOOKUP(F13,中介表!$A$1:$C$21,3,FALSE),"")</f>
        <v/>
      </c>
      <c r="G53" s="40" t="str">
        <f>IFERROR(VLOOKUP(G13,中介表!$A$1:$C$21,3,FALSE),"")</f>
        <v>唐三藏</v>
      </c>
      <c r="H53" s="40" t="str">
        <f>IFERROR(VLOOKUP(H13,中介表!$A$1:$C$21,3,FALSE),"")</f>
        <v>引魂仙子</v>
      </c>
      <c r="I53" s="40" t="str">
        <f>IFERROR(VLOOKUP(I13,中介表!$A$1:$C$21,3,FALSE),"")</f>
        <v>人参娃</v>
      </c>
      <c r="J53" s="40" t="str">
        <f>IFERROR(VLOOKUP(J13,中介表!$A$1:$C$21,3,FALSE),"")</f>
        <v/>
      </c>
      <c r="K53" s="40" t="str">
        <f>IFERROR(VLOOKUP(K13,中介表!$A$1:$C$21,3,FALSE),"")</f>
        <v>紫霞仙子</v>
      </c>
      <c r="L53" s="40" t="str">
        <f>IFERROR(VLOOKUP(L13,中介表!$A$1:$C$21,3,FALSE),"")</f>
        <v>引魂仙子</v>
      </c>
      <c r="M53" s="40" t="str">
        <f>IFERROR(VLOOKUP(M13,中介表!$A$1:$C$21,3,FALSE),"")</f>
        <v/>
      </c>
      <c r="N53" s="40" t="str">
        <f>IFERROR(VLOOKUP(N13,中介表!$A$1:$C$21,3,FALSE),"")</f>
        <v>龙帝</v>
      </c>
      <c r="O53" s="40" t="str">
        <f>IFERROR(VLOOKUP(O13,中介表!$A$1:$C$21,3,FALSE),"")</f>
        <v>引魂仙子</v>
      </c>
      <c r="P53" s="40" t="str">
        <f>IFERROR(VLOOKUP(P13,中介表!$A$1:$C$21,3,FALSE),"")</f>
        <v/>
      </c>
      <c r="Q53" s="40" t="str">
        <f>IFERROR(VLOOKUP(Q13,中介表!$A$1:$C$21,3,FALSE),"")</f>
        <v>引魂仙子</v>
      </c>
      <c r="R53" s="40" t="str">
        <f>IFERROR(VLOOKUP(R13,中介表!$A$1:$C$21,3,FALSE),"")</f>
        <v>人参娃</v>
      </c>
      <c r="S53" s="40" t="str">
        <f>IFERROR(VLOOKUP(S13,中介表!$A$1:$C$21,3,FALSE),"")</f>
        <v/>
      </c>
      <c r="T53" s="40" t="str">
        <f>IFERROR(VLOOKUP(T13,中介表!$A$1:$C$21,3,FALSE),"")</f>
        <v/>
      </c>
      <c r="U53" s="40" t="str">
        <f>IFERROR(VLOOKUP(U13,中介表!$A$1:$C$21,3,FALSE),"")</f>
        <v/>
      </c>
      <c r="V53" s="40" t="str">
        <f>IFERROR(VLOOKUP(V13,中介表!$A$1:$C$21,3,FALSE),"")</f>
        <v/>
      </c>
      <c r="W53" s="40" t="str">
        <f>IFERROR(VLOOKUP(W13,中介表!$A$1:$C$21,3,FALSE),"")</f>
        <v/>
      </c>
    </row>
    <row r="54" spans="1:23">
      <c r="A54" s="26" t="s">
        <v>766</v>
      </c>
      <c r="B54" s="40"/>
      <c r="C54" s="40" t="str">
        <f>IFERROR(VLOOKUP(C14,中介表!$A$1:$C$21,3,FALSE),"")</f>
        <v>迦叶</v>
      </c>
      <c r="D54" s="40" t="str">
        <f>IFERROR(VLOOKUP(D14,中介表!$A$1:$C$21,3,FALSE),"")</f>
        <v>人参娃</v>
      </c>
      <c r="E54" s="40" t="str">
        <f>IFERROR(VLOOKUP(E14,中介表!$A$1:$C$21,3,FALSE),"")</f>
        <v>红孩儿</v>
      </c>
      <c r="F54" s="40" t="str">
        <f>IFERROR(VLOOKUP(F14,中介表!$A$1:$C$21,3,FALSE),"")</f>
        <v/>
      </c>
      <c r="G54" s="40" t="str">
        <f>IFERROR(VLOOKUP(G14,中介表!$A$1:$C$21,3,FALSE),"")</f>
        <v>唐三藏</v>
      </c>
      <c r="H54" s="40" t="str">
        <f>IFERROR(VLOOKUP(H14,中介表!$A$1:$C$21,3,FALSE),"")</f>
        <v>引魂仙子</v>
      </c>
      <c r="I54" s="40" t="str">
        <f>IFERROR(VLOOKUP(I14,中介表!$A$1:$C$21,3,FALSE),"")</f>
        <v>人参娃</v>
      </c>
      <c r="J54" s="40" t="str">
        <f>IFERROR(VLOOKUP(J14,中介表!$A$1:$C$21,3,FALSE),"")</f>
        <v/>
      </c>
      <c r="K54" s="40" t="str">
        <f>IFERROR(VLOOKUP(K14,中介表!$A$1:$C$21,3,FALSE),"")</f>
        <v>斗战胜佛</v>
      </c>
      <c r="L54" s="40" t="str">
        <f>IFERROR(VLOOKUP(L14,中介表!$A$1:$C$21,3,FALSE),"")</f>
        <v>人参娃</v>
      </c>
      <c r="M54" s="40" t="str">
        <f>IFERROR(VLOOKUP(M14,中介表!$A$1:$C$21,3,FALSE),"")</f>
        <v/>
      </c>
      <c r="N54" s="40" t="str">
        <f>IFERROR(VLOOKUP(N14,中介表!$A$1:$C$21,3,FALSE),"")</f>
        <v>八部天龙</v>
      </c>
      <c r="O54" s="40" t="str">
        <f>IFERROR(VLOOKUP(O14,中介表!$A$1:$C$21,3,FALSE),"")</f>
        <v>人参娃</v>
      </c>
      <c r="P54" s="40" t="str">
        <f>IFERROR(VLOOKUP(P14,中介表!$A$1:$C$21,3,FALSE),"")</f>
        <v/>
      </c>
      <c r="Q54" s="40" t="str">
        <f>IFERROR(VLOOKUP(Q14,中介表!$A$1:$C$21,3,FALSE),"")</f>
        <v>引魂仙子</v>
      </c>
      <c r="R54" s="40" t="str">
        <f>IFERROR(VLOOKUP(R14,中介表!$A$1:$C$21,3,FALSE),"")</f>
        <v>人参娃</v>
      </c>
      <c r="S54" s="40" t="str">
        <f>IFERROR(VLOOKUP(S14,中介表!$A$1:$C$21,3,FALSE),"")</f>
        <v/>
      </c>
      <c r="T54" s="40" t="str">
        <f>IFERROR(VLOOKUP(T14,中介表!$A$1:$C$21,3,FALSE),"")</f>
        <v/>
      </c>
      <c r="U54" s="40" t="str">
        <f>IFERROR(VLOOKUP(U14,中介表!$A$1:$C$21,3,FALSE),"")</f>
        <v/>
      </c>
      <c r="V54" s="40" t="str">
        <f>IFERROR(VLOOKUP(V14,中介表!$A$1:$C$21,3,FALSE),"")</f>
        <v/>
      </c>
      <c r="W54" s="40" t="str">
        <f>IFERROR(VLOOKUP(W14,中介表!$A$1:$C$21,3,FALSE),"")</f>
        <v/>
      </c>
    </row>
    <row r="55" spans="1:23">
      <c r="A55" s="26" t="s">
        <v>85</v>
      </c>
      <c r="B55" s="40"/>
      <c r="C55" s="40" t="str">
        <f>IFERROR(VLOOKUP(C15,中介表!$A$1:$C$21,3,FALSE),"")</f>
        <v>唐三藏</v>
      </c>
      <c r="D55" s="40" t="str">
        <f>IFERROR(VLOOKUP(D15,中介表!$A$1:$C$21,3,FALSE),"")</f>
        <v>迦叶</v>
      </c>
      <c r="E55" s="40" t="str">
        <f>IFERROR(VLOOKUP(E15,中介表!$A$1:$C$21,3,FALSE),"")</f>
        <v>女儿国国王</v>
      </c>
      <c r="F55" s="40" t="str">
        <f>IFERROR(VLOOKUP(F15,中介表!$A$1:$C$21,3,FALSE),"")</f>
        <v/>
      </c>
      <c r="G55" s="40" t="str">
        <f>IFERROR(VLOOKUP(G15,中介表!$A$1:$C$21,3,FALSE),"")</f>
        <v>红孩儿</v>
      </c>
      <c r="H55" s="40" t="str">
        <f>IFERROR(VLOOKUP(H15,中介表!$A$1:$C$21,3,FALSE),"")</f>
        <v>引魂仙子</v>
      </c>
      <c r="I55" s="40" t="str">
        <f>IFERROR(VLOOKUP(I15,中介表!$A$1:$C$21,3,FALSE),"")</f>
        <v>女儿国国王</v>
      </c>
      <c r="J55" s="40" t="str">
        <f>IFERROR(VLOOKUP(J15,中介表!$A$1:$C$21,3,FALSE),"")</f>
        <v/>
      </c>
      <c r="K55" s="40" t="str">
        <f>IFERROR(VLOOKUP(K15,中介表!$A$1:$C$21,3,FALSE),"")</f>
        <v>紫霞仙子</v>
      </c>
      <c r="L55" s="40" t="str">
        <f>IFERROR(VLOOKUP(L15,中介表!$A$1:$C$21,3,FALSE),"")</f>
        <v>女儿国国王</v>
      </c>
      <c r="M55" s="40" t="str">
        <f>IFERROR(VLOOKUP(M15,中介表!$A$1:$C$21,3,FALSE),"")</f>
        <v/>
      </c>
      <c r="N55" s="40" t="str">
        <f>IFERROR(VLOOKUP(N15,中介表!$A$1:$C$21,3,FALSE),"")</f>
        <v>龙帝</v>
      </c>
      <c r="O55" s="40" t="str">
        <f>IFERROR(VLOOKUP(O15,中介表!$A$1:$C$21,3,FALSE),"")</f>
        <v>女儿国国王</v>
      </c>
      <c r="P55" s="40" t="str">
        <f>IFERROR(VLOOKUP(P15,中介表!$A$1:$C$21,3,FALSE),"")</f>
        <v/>
      </c>
      <c r="Q55" s="40" t="str">
        <f>IFERROR(VLOOKUP(Q15,中介表!$A$1:$C$21,3,FALSE),"")</f>
        <v>八部天龙</v>
      </c>
      <c r="R55" s="40" t="str">
        <f>IFERROR(VLOOKUP(R15,中介表!$A$1:$C$21,3,FALSE),"")</f>
        <v>女儿国国王</v>
      </c>
      <c r="S55" s="40" t="str">
        <f>IFERROR(VLOOKUP(S15,中介表!$A$1:$C$21,3,FALSE),"")</f>
        <v/>
      </c>
      <c r="T55" s="40" t="str">
        <f>IFERROR(VLOOKUP(T15,中介表!$A$1:$C$21,3,FALSE),"")</f>
        <v/>
      </c>
      <c r="U55" s="40" t="str">
        <f>IFERROR(VLOOKUP(U15,中介表!$A$1:$C$21,3,FALSE),"")</f>
        <v/>
      </c>
      <c r="V55" s="40" t="str">
        <f>IFERROR(VLOOKUP(V15,中介表!$A$1:$C$21,3,FALSE),"")</f>
        <v/>
      </c>
      <c r="W55" s="40" t="str">
        <f>IFERROR(VLOOKUP(W15,中介表!$A$1:$C$21,3,FALSE),"")</f>
        <v/>
      </c>
    </row>
    <row r="56" spans="1:23">
      <c r="A56" s="10" t="s">
        <v>51</v>
      </c>
      <c r="B56" s="40"/>
      <c r="C56" s="40" t="str">
        <f>IFERROR(VLOOKUP(C16,中介表!$A$1:$C$21,3,FALSE),"")</f>
        <v>白龙公主</v>
      </c>
      <c r="D56" s="40" t="str">
        <f>IFERROR(VLOOKUP(D16,中介表!$A$1:$C$21,3,FALSE),"")</f>
        <v>黑熊精</v>
      </c>
      <c r="E56" s="40" t="str">
        <f>IFERROR(VLOOKUP(E16,中介表!$A$1:$C$21,3,FALSE),"")</f>
        <v>地藏王</v>
      </c>
      <c r="F56" s="40" t="str">
        <f>IFERROR(VLOOKUP(F16,中介表!$A$1:$C$21,3,FALSE),"")</f>
        <v/>
      </c>
      <c r="G56" s="40" t="str">
        <f>IFERROR(VLOOKUP(G16,中介表!$A$1:$C$21,3,FALSE),"")</f>
        <v>地藏王</v>
      </c>
      <c r="H56" s="40" t="str">
        <f>IFERROR(VLOOKUP(H16,中介表!$A$1:$C$21,3,FALSE),"")</f>
        <v>混沌</v>
      </c>
      <c r="I56" s="40" t="str">
        <f>IFERROR(VLOOKUP(I16,中介表!$A$1:$C$21,3,FALSE),"")</f>
        <v/>
      </c>
      <c r="J56" s="40" t="str">
        <f>IFERROR(VLOOKUP(J16,中介表!$A$1:$C$21,3,FALSE),"")</f>
        <v>地藏王</v>
      </c>
      <c r="K56" s="40" t="str">
        <f>IFERROR(VLOOKUP(K16,中介表!$A$1:$C$21,3,FALSE),"")</f>
        <v>白龙公主</v>
      </c>
      <c r="L56" s="40" t="str">
        <f>IFERROR(VLOOKUP(L16,中介表!$A$1:$C$21,3,FALSE),"")</f>
        <v/>
      </c>
      <c r="M56" s="40" t="str">
        <f>IFERROR(VLOOKUP(M16,中介表!$A$1:$C$21,3,FALSE),"")</f>
        <v>地藏王</v>
      </c>
      <c r="N56" s="40" t="str">
        <f>IFERROR(VLOOKUP(N16,中介表!$A$1:$C$21,3,FALSE),"")</f>
        <v>赛太岁</v>
      </c>
      <c r="O56" s="40" t="str">
        <f>IFERROR(VLOOKUP(O16,中介表!$A$1:$C$21,3,FALSE),"")</f>
        <v/>
      </c>
      <c r="P56" s="40" t="str">
        <f>IFERROR(VLOOKUP(P16,中介表!$A$1:$C$21,3,FALSE),"")</f>
        <v/>
      </c>
      <c r="Q56" s="40" t="str">
        <f>IFERROR(VLOOKUP(Q16,中介表!$A$1:$C$21,3,FALSE),"")</f>
        <v/>
      </c>
      <c r="R56" s="40" t="str">
        <f>IFERROR(VLOOKUP(R16,中介表!$A$1:$C$21,3,FALSE),"")</f>
        <v/>
      </c>
      <c r="S56" s="40" t="str">
        <f>IFERROR(VLOOKUP(S16,中介表!$A$1:$C$21,3,FALSE),"")</f>
        <v/>
      </c>
      <c r="T56" s="40" t="str">
        <f>IFERROR(VLOOKUP(T16,中介表!$A$1:$C$21,3,FALSE),"")</f>
        <v/>
      </c>
      <c r="U56" s="40" t="str">
        <f>IFERROR(VLOOKUP(U16,中介表!$A$1:$C$21,3,FALSE),"")</f>
        <v/>
      </c>
      <c r="V56" s="40" t="str">
        <f>IFERROR(VLOOKUP(V16,中介表!$A$1:$C$21,3,FALSE),"")</f>
        <v/>
      </c>
      <c r="W56" s="40" t="str">
        <f>IFERROR(VLOOKUP(W16,中介表!$A$1:$C$21,3,FALSE),"")</f>
        <v/>
      </c>
    </row>
    <row r="57" spans="1:23">
      <c r="A57" s="10" t="s">
        <v>49</v>
      </c>
      <c r="B57" s="40"/>
      <c r="C57" s="40" t="str">
        <f>IFERROR(VLOOKUP(C17,中介表!$A$1:$C$21,3,FALSE),"")</f>
        <v>琴仙</v>
      </c>
      <c r="D57" s="40" t="str">
        <f>IFERROR(VLOOKUP(D17,中介表!$A$1:$C$21,3,FALSE),"")</f>
        <v>混沌</v>
      </c>
      <c r="E57" s="40" t="str">
        <f>IFERROR(VLOOKUP(E17,中介表!$A$1:$C$21,3,FALSE),"")</f>
        <v>黑熊精</v>
      </c>
      <c r="F57" s="40" t="str">
        <f>IFERROR(VLOOKUP(F17,中介表!$A$1:$C$21,3,FALSE),"")</f>
        <v/>
      </c>
      <c r="G57" s="40" t="str">
        <f>IFERROR(VLOOKUP(G17,中介表!$A$1:$C$21,3,FALSE),"")</f>
        <v>地藏王</v>
      </c>
      <c r="H57" s="40" t="str">
        <f>IFERROR(VLOOKUP(H17,中介表!$A$1:$C$21,3,FALSE),"")</f>
        <v>混沌</v>
      </c>
      <c r="I57" s="40" t="str">
        <f>IFERROR(VLOOKUP(I17,中介表!$A$1:$C$21,3,FALSE),"")</f>
        <v/>
      </c>
      <c r="J57" s="40" t="str">
        <f>IFERROR(VLOOKUP(J17,中介表!$A$1:$C$21,3,FALSE),"")</f>
        <v>混沌</v>
      </c>
      <c r="K57" s="40" t="str">
        <f>IFERROR(VLOOKUP(K17,中介表!$A$1:$C$21,3,FALSE),"")</f>
        <v>赛太岁</v>
      </c>
      <c r="L57" s="40" t="str">
        <f>IFERROR(VLOOKUP(L17,中介表!$A$1:$C$21,3,FALSE),"")</f>
        <v/>
      </c>
      <c r="M57" s="40" t="str">
        <f>IFERROR(VLOOKUP(M17,中介表!$A$1:$C$21,3,FALSE),"")</f>
        <v>混沌</v>
      </c>
      <c r="N57" s="40" t="str">
        <f>IFERROR(VLOOKUP(N17,中介表!$A$1:$C$21,3,FALSE),"")</f>
        <v>琴仙</v>
      </c>
      <c r="O57" s="40" t="str">
        <f>IFERROR(VLOOKUP(O17,中介表!$A$1:$C$21,3,FALSE),"")</f>
        <v/>
      </c>
      <c r="P57" s="40" t="str">
        <f>IFERROR(VLOOKUP(P17,中介表!$A$1:$C$21,3,FALSE),"")</f>
        <v/>
      </c>
      <c r="Q57" s="40" t="str">
        <f>IFERROR(VLOOKUP(Q17,中介表!$A$1:$C$21,3,FALSE),"")</f>
        <v/>
      </c>
      <c r="R57" s="40" t="str">
        <f>IFERROR(VLOOKUP(R17,中介表!$A$1:$C$21,3,FALSE),"")</f>
        <v/>
      </c>
      <c r="S57" s="40" t="str">
        <f>IFERROR(VLOOKUP(S17,中介表!$A$1:$C$21,3,FALSE),"")</f>
        <v/>
      </c>
      <c r="T57" s="40" t="str">
        <f>IFERROR(VLOOKUP(T17,中介表!$A$1:$C$21,3,FALSE),"")</f>
        <v/>
      </c>
      <c r="U57" s="40" t="str">
        <f>IFERROR(VLOOKUP(U17,中介表!$A$1:$C$21,3,FALSE),"")</f>
        <v/>
      </c>
      <c r="V57" s="40" t="str">
        <f>IFERROR(VLOOKUP(V17,中介表!$A$1:$C$21,3,FALSE),"")</f>
        <v/>
      </c>
      <c r="W57" s="40" t="str">
        <f>IFERROR(VLOOKUP(W17,中介表!$A$1:$C$21,3,FALSE),"")</f>
        <v/>
      </c>
    </row>
    <row r="58" spans="1:23">
      <c r="A58" s="10" t="s">
        <v>56</v>
      </c>
      <c r="B58" s="40"/>
      <c r="C58" s="40" t="str">
        <f>IFERROR(VLOOKUP(C18,中介表!$A$1:$C$21,3,FALSE),"")</f>
        <v>白龙公主</v>
      </c>
      <c r="D58" s="40" t="str">
        <f>IFERROR(VLOOKUP(D18,中介表!$A$1:$C$21,3,FALSE),"")</f>
        <v>黑熊精</v>
      </c>
      <c r="E58" s="40" t="str">
        <f>IFERROR(VLOOKUP(E18,中介表!$A$1:$C$21,3,FALSE),"")</f>
        <v>地藏王</v>
      </c>
      <c r="F58" s="40" t="str">
        <f>IFERROR(VLOOKUP(F18,中介表!$A$1:$C$21,3,FALSE),"")</f>
        <v/>
      </c>
      <c r="G58" s="40" t="str">
        <f>IFERROR(VLOOKUP(G18,中介表!$A$1:$C$21,3,FALSE),"")</f>
        <v>白龙公主</v>
      </c>
      <c r="H58" s="40" t="str">
        <f>IFERROR(VLOOKUP(H18,中介表!$A$1:$C$21,3,FALSE),"")</f>
        <v>赛太岁</v>
      </c>
      <c r="I58" s="40" t="str">
        <f>IFERROR(VLOOKUP(I18,中介表!$A$1:$C$21,3,FALSE),"")</f>
        <v/>
      </c>
      <c r="J58" s="40" t="str">
        <f>IFERROR(VLOOKUP(J18,中介表!$A$1:$C$21,3,FALSE),"")</f>
        <v>白龙公主</v>
      </c>
      <c r="K58" s="40" t="str">
        <f>IFERROR(VLOOKUP(K18,中介表!$A$1:$C$21,3,FALSE),"")</f>
        <v>琴仙</v>
      </c>
      <c r="L58" s="40" t="str">
        <f>IFERROR(VLOOKUP(L18,中介表!$A$1:$C$21,3,FALSE),"")</f>
        <v/>
      </c>
      <c r="M58" s="40" t="str">
        <f>IFERROR(VLOOKUP(M18,中介表!$A$1:$C$21,3,FALSE),"")</f>
        <v>地藏王</v>
      </c>
      <c r="N58" s="40" t="str">
        <f>IFERROR(VLOOKUP(N18,中介表!$A$1:$C$21,3,FALSE),"")</f>
        <v>白龙公主</v>
      </c>
      <c r="O58" s="40" t="str">
        <f>IFERROR(VLOOKUP(O18,中介表!$A$1:$C$21,3,FALSE),"")</f>
        <v/>
      </c>
      <c r="P58" s="40" t="str">
        <f>IFERROR(VLOOKUP(P18,中介表!$A$1:$C$21,3,FALSE),"")</f>
        <v/>
      </c>
      <c r="Q58" s="40" t="str">
        <f>IFERROR(VLOOKUP(Q18,中介表!$A$1:$C$21,3,FALSE),"")</f>
        <v/>
      </c>
      <c r="R58" s="40" t="str">
        <f>IFERROR(VLOOKUP(R18,中介表!$A$1:$C$21,3,FALSE),"")</f>
        <v/>
      </c>
      <c r="S58" s="40" t="str">
        <f>IFERROR(VLOOKUP(S18,中介表!$A$1:$C$21,3,FALSE),"")</f>
        <v/>
      </c>
      <c r="T58" s="40" t="str">
        <f>IFERROR(VLOOKUP(T18,中介表!$A$1:$C$21,3,FALSE),"")</f>
        <v/>
      </c>
      <c r="U58" s="40" t="str">
        <f>IFERROR(VLOOKUP(U18,中介表!$A$1:$C$21,3,FALSE),"")</f>
        <v/>
      </c>
      <c r="V58" s="40" t="str">
        <f>IFERROR(VLOOKUP(V18,中介表!$A$1:$C$21,3,FALSE),"")</f>
        <v/>
      </c>
      <c r="W58" s="40" t="str">
        <f>IFERROR(VLOOKUP(W18,中介表!$A$1:$C$21,3,FALSE),"")</f>
        <v/>
      </c>
    </row>
    <row r="59" spans="1:23">
      <c r="A59" s="46" t="s">
        <v>150</v>
      </c>
      <c r="B59" s="40"/>
      <c r="C59" s="40" t="str">
        <f>IFERROR(VLOOKUP(C19,中介表!$A$1:$C$21,3,FALSE),"")</f>
        <v>白龙公主</v>
      </c>
      <c r="D59" s="40" t="str">
        <f>IFERROR(VLOOKUP(D19,中介表!$A$1:$C$21,3,FALSE),"")</f>
        <v>赛太岁</v>
      </c>
      <c r="E59" s="40" t="str">
        <f>IFERROR(VLOOKUP(E19,中介表!$A$1:$C$21,3,FALSE),"")</f>
        <v/>
      </c>
      <c r="F59" s="40" t="str">
        <f>IFERROR(VLOOKUP(F19,中介表!$A$1:$C$21,3,FALSE),"")</f>
        <v>混沌</v>
      </c>
      <c r="G59" s="40" t="str">
        <f>IFERROR(VLOOKUP(G19,中介表!$A$1:$C$21,3,FALSE),"")</f>
        <v>赛太岁</v>
      </c>
      <c r="H59" s="40" t="str">
        <f>IFERROR(VLOOKUP(H19,中介表!$A$1:$C$21,3,FALSE),"")</f>
        <v/>
      </c>
      <c r="I59" s="40" t="str">
        <f>IFERROR(VLOOKUP(I19,中介表!$A$1:$C$21,3,FALSE),"")</f>
        <v>赛太岁</v>
      </c>
      <c r="J59" s="40" t="str">
        <f>IFERROR(VLOOKUP(J19,中介表!$A$1:$C$21,3,FALSE),"")</f>
        <v>黑熊精</v>
      </c>
      <c r="K59" s="40" t="str">
        <f>IFERROR(VLOOKUP(K19,中介表!$A$1:$C$21,3,FALSE),"")</f>
        <v/>
      </c>
      <c r="L59" s="40" t="str">
        <f>IFERROR(VLOOKUP(L19,中介表!$A$1:$C$21,3,FALSE),"")</f>
        <v>地藏王</v>
      </c>
      <c r="M59" s="40" t="str">
        <f>IFERROR(VLOOKUP(M19,中介表!$A$1:$C$21,3,FALSE),"")</f>
        <v>赛太岁</v>
      </c>
      <c r="N59" s="40" t="str">
        <f>IFERROR(VLOOKUP(N19,中介表!$A$1:$C$21,3,FALSE),"")</f>
        <v/>
      </c>
      <c r="O59" s="40" t="str">
        <f>IFERROR(VLOOKUP(O19,中介表!$A$1:$C$21,3,FALSE),"")</f>
        <v/>
      </c>
      <c r="P59" s="40" t="str">
        <f>IFERROR(VLOOKUP(P19,中介表!$A$1:$C$21,3,FALSE),"")</f>
        <v/>
      </c>
      <c r="Q59" s="40" t="str">
        <f>IFERROR(VLOOKUP(Q19,中介表!$A$1:$C$21,3,FALSE),"")</f>
        <v/>
      </c>
      <c r="R59" s="40" t="str">
        <f>IFERROR(VLOOKUP(R19,中介表!$A$1:$C$21,3,FALSE),"")</f>
        <v/>
      </c>
      <c r="S59" s="40" t="str">
        <f>IFERROR(VLOOKUP(S19,中介表!$A$1:$C$21,3,FALSE),"")</f>
        <v/>
      </c>
      <c r="T59" s="40" t="str">
        <f>IFERROR(VLOOKUP(T19,中介表!$A$1:$C$21,3,FALSE),"")</f>
        <v/>
      </c>
      <c r="U59" s="40" t="str">
        <f>IFERROR(VLOOKUP(U19,中介表!$A$1:$C$21,3,FALSE),"")</f>
        <v/>
      </c>
      <c r="V59" s="40" t="str">
        <f>IFERROR(VLOOKUP(V19,中介表!$A$1:$C$21,3,FALSE),"")</f>
        <v/>
      </c>
      <c r="W59" s="40" t="str">
        <f>IFERROR(VLOOKUP(W19,中介表!$A$1:$C$21,3,FALSE),"")</f>
        <v/>
      </c>
    </row>
    <row r="60" spans="1:23">
      <c r="A60" s="10" t="s">
        <v>154</v>
      </c>
      <c r="B60" s="40"/>
      <c r="C60" s="40" t="str">
        <f>IFERROR(VLOOKUP(C20,中介表!$A$1:$C$21,3,FALSE),"")</f>
        <v>琴仙</v>
      </c>
      <c r="D60" s="40" t="str">
        <f>IFERROR(VLOOKUP(D20,中介表!$A$1:$C$21,3,FALSE),"")</f>
        <v>混沌</v>
      </c>
      <c r="E60" s="40" t="str">
        <f>IFERROR(VLOOKUP(E20,中介表!$A$1:$C$21,3,FALSE),"")</f>
        <v>黑熊精</v>
      </c>
      <c r="F60" s="40" t="str">
        <f>IFERROR(VLOOKUP(F20,中介表!$A$1:$C$21,3,FALSE),"")</f>
        <v/>
      </c>
      <c r="G60" s="40" t="str">
        <f>IFERROR(VLOOKUP(G20,中介表!$A$1:$C$21,3,FALSE),"")</f>
        <v>琴仙</v>
      </c>
      <c r="H60" s="40" t="str">
        <f>IFERROR(VLOOKUP(H20,中介表!$A$1:$C$21,3,FALSE),"")</f>
        <v>黑熊精</v>
      </c>
      <c r="I60" s="40" t="str">
        <f>IFERROR(VLOOKUP(I20,中介表!$A$1:$C$21,3,FALSE),"")</f>
        <v/>
      </c>
      <c r="J60" s="40" t="str">
        <f>IFERROR(VLOOKUP(J20,中介表!$A$1:$C$21,3,FALSE),"")</f>
        <v>白龙公主</v>
      </c>
      <c r="K60" s="40" t="str">
        <f>IFERROR(VLOOKUP(K20,中介表!$A$1:$C$21,3,FALSE),"")</f>
        <v>琴仙</v>
      </c>
      <c r="L60" s="40" t="str">
        <f>IFERROR(VLOOKUP(L20,中介表!$A$1:$C$21,3,FALSE),"")</f>
        <v/>
      </c>
      <c r="M60" s="40" t="str">
        <f>IFERROR(VLOOKUP(M20,中介表!$A$1:$C$21,3,FALSE),"")</f>
        <v>混沌</v>
      </c>
      <c r="N60" s="40" t="str">
        <f>IFERROR(VLOOKUP(N20,中介表!$A$1:$C$21,3,FALSE),"")</f>
        <v>琴仙</v>
      </c>
      <c r="O60" s="40" t="str">
        <f>IFERROR(VLOOKUP(O20,中介表!$A$1:$C$21,3,FALSE),"")</f>
        <v/>
      </c>
      <c r="P60" s="40" t="str">
        <f>IFERROR(VLOOKUP(P20,中介表!$A$1:$C$21,3,FALSE),"")</f>
        <v/>
      </c>
      <c r="Q60" s="40" t="str">
        <f>IFERROR(VLOOKUP(Q20,中介表!$A$1:$C$21,3,FALSE),"")</f>
        <v/>
      </c>
      <c r="R60" s="40" t="str">
        <f>IFERROR(VLOOKUP(R20,中介表!$A$1:$C$21,3,FALSE),"")</f>
        <v/>
      </c>
      <c r="S60" s="40" t="str">
        <f>IFERROR(VLOOKUP(S20,中介表!$A$1:$C$21,3,FALSE),"")</f>
        <v/>
      </c>
      <c r="T60" s="40" t="str">
        <f>IFERROR(VLOOKUP(T20,中介表!$A$1:$C$21,3,FALSE),"")</f>
        <v/>
      </c>
      <c r="U60" s="40" t="str">
        <f>IFERROR(VLOOKUP(U20,中介表!$A$1:$C$21,3,FALSE),"")</f>
        <v/>
      </c>
      <c r="V60" s="40" t="str">
        <f>IFERROR(VLOOKUP(V20,中介表!$A$1:$C$21,3,FALSE),"")</f>
        <v/>
      </c>
      <c r="W60" s="40" t="str">
        <f>IFERROR(VLOOKUP(W20,中介表!$A$1:$C$21,3,FALSE),"")</f>
        <v/>
      </c>
    </row>
    <row r="61" spans="1:23">
      <c r="A61" s="46" t="s">
        <v>32</v>
      </c>
      <c r="B61" s="40"/>
      <c r="C61" s="40" t="str">
        <f>IFERROR(VLOOKUP(C21,中介表!$A$1:$C$21,3,FALSE),"")</f>
        <v>白龙公主</v>
      </c>
      <c r="D61" s="40" t="str">
        <f>IFERROR(VLOOKUP(D21,中介表!$A$1:$C$21,3,FALSE),"")</f>
        <v>黑熊精</v>
      </c>
      <c r="E61" s="40" t="str">
        <f>IFERROR(VLOOKUP(E21,中介表!$A$1:$C$21,3,FALSE),"")</f>
        <v>地藏王</v>
      </c>
      <c r="F61" s="40" t="str">
        <f>IFERROR(VLOOKUP(F21,中介表!$A$1:$C$21,3,FALSE),"")</f>
        <v/>
      </c>
      <c r="G61" s="40" t="str">
        <f>IFERROR(VLOOKUP(G21,中介表!$A$1:$C$21,3,FALSE),"")</f>
        <v>琴仙</v>
      </c>
      <c r="H61" s="40" t="str">
        <f>IFERROR(VLOOKUP(H21,中介表!$A$1:$C$21,3,FALSE),"")</f>
        <v>混沌</v>
      </c>
      <c r="I61" s="40" t="str">
        <f>IFERROR(VLOOKUP(I21,中介表!$A$1:$C$21,3,FALSE),"")</f>
        <v>黑熊精</v>
      </c>
      <c r="J61" s="40" t="str">
        <f>IFERROR(VLOOKUP(J21,中介表!$A$1:$C$21,3,FALSE),"")</f>
        <v/>
      </c>
      <c r="K61" s="40" t="str">
        <f>IFERROR(VLOOKUP(K21,中介表!$A$1:$C$21,3,FALSE),"")</f>
        <v>琴仙</v>
      </c>
      <c r="L61" s="40" t="str">
        <f>IFERROR(VLOOKUP(L21,中介表!$A$1:$C$21,3,FALSE),"")</f>
        <v>黑熊精</v>
      </c>
      <c r="M61" s="40" t="str">
        <f>IFERROR(VLOOKUP(M21,中介表!$A$1:$C$21,3,FALSE),"")</f>
        <v/>
      </c>
      <c r="N61" s="40" t="str">
        <f>IFERROR(VLOOKUP(N21,中介表!$A$1:$C$21,3,FALSE),"")</f>
        <v>赛太岁</v>
      </c>
      <c r="O61" s="40" t="str">
        <f>IFERROR(VLOOKUP(O21,中介表!$A$1:$C$21,3,FALSE),"")</f>
        <v>黑熊精</v>
      </c>
      <c r="P61" s="40" t="str">
        <f>IFERROR(VLOOKUP(P21,中介表!$A$1:$C$21,3,FALSE),"")</f>
        <v/>
      </c>
      <c r="Q61" s="40" t="str">
        <f>IFERROR(VLOOKUP(Q21,中介表!$A$1:$C$21,3,FALSE),"")</f>
        <v/>
      </c>
      <c r="R61" s="40" t="str">
        <f>IFERROR(VLOOKUP(R21,中介表!$A$1:$C$21,3,FALSE),"")</f>
        <v/>
      </c>
      <c r="S61" s="40" t="str">
        <f>IFERROR(VLOOKUP(S21,中介表!$A$1:$C$21,3,FALSE),"")</f>
        <v/>
      </c>
      <c r="T61" s="40" t="str">
        <f>IFERROR(VLOOKUP(T21,中介表!$A$1:$C$21,3,FALSE),"")</f>
        <v/>
      </c>
      <c r="U61" s="40" t="str">
        <f>IFERROR(VLOOKUP(U21,中介表!$A$1:$C$21,3,FALSE),"")</f>
        <v/>
      </c>
      <c r="V61" s="40" t="str">
        <f>IFERROR(VLOOKUP(V21,中介表!$A$1:$C$21,3,FALSE),"")</f>
        <v/>
      </c>
      <c r="W61" s="40" t="str">
        <f>IFERROR(VLOOKUP(W21,中介表!$A$1:$C$21,3,FALSE),"")</f>
        <v/>
      </c>
    </row>
    <row r="63" spans="1:23">
      <c r="A63" t="s">
        <v>178</v>
      </c>
    </row>
    <row r="65" spans="1:29">
      <c r="A65" s="52" t="s">
        <v>96</v>
      </c>
      <c r="B65" t="str">
        <f>C65&amp;","&amp;D65&amp;","&amp;E65&amp;","&amp;F65</f>
        <v>1119,1124,1113,1116</v>
      </c>
      <c r="C65">
        <f>IFERROR(VLOOKUP(C2,Sheet2!$A$1:$B$114,2,FALSE),"")</f>
        <v>1119</v>
      </c>
      <c r="D65">
        <f>IFERROR(VLOOKUP(D2,Sheet2!$A$1:$B$114,2,FALSE),"")</f>
        <v>1124</v>
      </c>
      <c r="E65">
        <f>IFERROR(VLOOKUP(E2,Sheet2!$A$1:$B$114,2,FALSE),"")</f>
        <v>1113</v>
      </c>
      <c r="F65">
        <f>IFERROR(VLOOKUP(F2,Sheet2!$A$1:$B$114,2,FALSE),"")</f>
        <v>1116</v>
      </c>
      <c r="G65" t="str">
        <f>H65&amp;","&amp;I65&amp;","&amp;J65</f>
        <v>1119,1124,1120</v>
      </c>
      <c r="H65">
        <f>IFERROR(VLOOKUP(H2,Sheet2!$A$1:$B$114,2,FALSE),"")</f>
        <v>1119</v>
      </c>
      <c r="I65">
        <f>IFERROR(VLOOKUP(I2,Sheet2!$A$1:$B$114,2,FALSE),"")</f>
        <v>1124</v>
      </c>
      <c r="J65">
        <f>IFERROR(VLOOKUP(J2,Sheet2!$A$1:$B$114,2,FALSE),"")</f>
        <v>1120</v>
      </c>
      <c r="K65" t="str">
        <f>IFERROR(VLOOKUP(K2,Sheet2!$A$1:$B$114,2,FALSE),"")</f>
        <v/>
      </c>
      <c r="L65">
        <f>IFERROR(VLOOKUP(L2,Sheet2!$A$1:$B$114,2,FALSE),"")</f>
        <v>1119</v>
      </c>
      <c r="M65">
        <f>IFERROR(VLOOKUP(M2,Sheet2!$A$1:$B$114,2,FALSE),"")</f>
        <v>1116</v>
      </c>
      <c r="N65" t="str">
        <f>IFERROR(VLOOKUP(N2,Sheet2!$A$1:$B$114,2,FALSE),"")</f>
        <v/>
      </c>
      <c r="O65">
        <f>IFERROR(VLOOKUP(O2,Sheet2!$A$1:$B$114,2,FALSE),"")</f>
        <v>1119</v>
      </c>
      <c r="P65">
        <f>IFERROR(VLOOKUP(P2,Sheet2!$A$1:$B$114,2,FALSE),"")</f>
        <v>1114</v>
      </c>
      <c r="Q65" t="str">
        <f>IFERROR(VLOOKUP(Q2,Sheet2!$A$1:$B$114,2,FALSE),"")</f>
        <v/>
      </c>
      <c r="R65">
        <f>IFERROR(VLOOKUP(R2,Sheet2!$A$1:$B$114,2,FALSE),"")</f>
        <v>1119</v>
      </c>
      <c r="S65">
        <f>IFERROR(VLOOKUP(S2,Sheet2!$A$1:$B$114,2,FALSE),"")</f>
        <v>1137</v>
      </c>
      <c r="T65" t="str">
        <f>IFERROR(VLOOKUP(T2,Sheet2!$A$1:$B$114,2,FALSE),"")</f>
        <v/>
      </c>
      <c r="U65">
        <f>IFERROR(VLOOKUP(U2,Sheet2!$A$1:$B$114,2,FALSE),"")</f>
        <v>1119</v>
      </c>
      <c r="V65">
        <f>IFERROR(VLOOKUP(V2,Sheet2!$A$1:$B$114,2,FALSE),"")</f>
        <v>1117</v>
      </c>
      <c r="W65" t="str">
        <f>IFERROR(VLOOKUP(W2,Sheet2!$A$1:$B$114,2,FALSE),"")</f>
        <v/>
      </c>
      <c r="X65" t="str">
        <f>IFERROR(VLOOKUP(X2,Sheet2!$A$1:$B$114,2,FALSE),"")</f>
        <v/>
      </c>
      <c r="Y65" t="str">
        <f>IFERROR(VLOOKUP(Y2,Sheet2!$A$1:$B$114,2,FALSE),"")</f>
        <v/>
      </c>
      <c r="Z65" t="str">
        <f>IFERROR(VLOOKUP(Z2,Sheet2!$A$1:$B$114,2,FALSE),"")</f>
        <v/>
      </c>
      <c r="AA65" t="str">
        <f>IFERROR(VLOOKUP(AA2,Sheet2!$A$1:$B$114,2,FALSE),"")</f>
        <v/>
      </c>
      <c r="AB65" t="str">
        <f>IFERROR(VLOOKUP(AB2,Sheet2!$A$1:$B$114,2,FALSE),"")</f>
        <v/>
      </c>
      <c r="AC65" t="str">
        <f>IFERROR(VLOOKUP(AC2,Sheet2!$A$1:$B$114,2,FALSE),"")</f>
        <v/>
      </c>
    </row>
    <row r="66" spans="1:29">
      <c r="A66" s="52" t="s">
        <v>139</v>
      </c>
      <c r="B66" t="str">
        <f t="shared" ref="B66:B71" si="0">C66&amp;","&amp;D66&amp;","&amp;E66&amp;","&amp;F66</f>
        <v>1119,1124,1113,1116</v>
      </c>
      <c r="C66">
        <f>IFERROR(VLOOKUP(C3,Sheet2!$A$1:$B$114,2,FALSE),"")</f>
        <v>1119</v>
      </c>
      <c r="D66">
        <f>IFERROR(VLOOKUP(D3,Sheet2!$A$1:$B$114,2,FALSE),"")</f>
        <v>1124</v>
      </c>
      <c r="E66">
        <f>IFERROR(VLOOKUP(E3,Sheet2!$A$1:$B$114,2,FALSE),"")</f>
        <v>1113</v>
      </c>
      <c r="F66">
        <f>IFERROR(VLOOKUP(F3,Sheet2!$A$1:$B$114,2,FALSE),"")</f>
        <v>1116</v>
      </c>
      <c r="G66" t="str">
        <f t="shared" ref="G66:G71" si="1">H66&amp;","&amp;I66&amp;","&amp;J66</f>
        <v>1119,1124,1120</v>
      </c>
      <c r="H66">
        <f>IFERROR(VLOOKUP(H3,Sheet2!$A$1:$B$114,2,FALSE),"")</f>
        <v>1119</v>
      </c>
      <c r="I66">
        <f>IFERROR(VLOOKUP(I3,Sheet2!$A$1:$B$114,2,FALSE),"")</f>
        <v>1124</v>
      </c>
      <c r="J66">
        <f>IFERROR(VLOOKUP(J3,Sheet2!$A$1:$B$114,2,FALSE),"")</f>
        <v>1120</v>
      </c>
      <c r="K66" t="str">
        <f>IFERROR(VLOOKUP(K3,Sheet2!$A$1:$B$114,2,FALSE),"")</f>
        <v/>
      </c>
      <c r="L66">
        <f>IFERROR(VLOOKUP(L3,Sheet2!$A$1:$B$114,2,FALSE),"")</f>
        <v>1124</v>
      </c>
      <c r="M66">
        <f>IFERROR(VLOOKUP(M3,Sheet2!$A$1:$B$114,2,FALSE),"")</f>
        <v>1116</v>
      </c>
      <c r="N66" t="str">
        <f>IFERROR(VLOOKUP(N3,Sheet2!$A$1:$B$114,2,FALSE),"")</f>
        <v/>
      </c>
      <c r="O66">
        <f>IFERROR(VLOOKUP(O3,Sheet2!$A$1:$B$114,2,FALSE),"")</f>
        <v>1124</v>
      </c>
      <c r="P66">
        <f>IFERROR(VLOOKUP(P3,Sheet2!$A$1:$B$114,2,FALSE),"")</f>
        <v>1131</v>
      </c>
      <c r="Q66" t="str">
        <f>IFERROR(VLOOKUP(Q3,Sheet2!$A$1:$B$114,2,FALSE),"")</f>
        <v/>
      </c>
      <c r="R66">
        <f>IFERROR(VLOOKUP(R3,Sheet2!$A$1:$B$114,2,FALSE),"")</f>
        <v>1124</v>
      </c>
      <c r="S66">
        <f>IFERROR(VLOOKUP(S3,Sheet2!$A$1:$B$114,2,FALSE),"")</f>
        <v>1208</v>
      </c>
      <c r="T66" t="str">
        <f>IFERROR(VLOOKUP(T3,Sheet2!$A$1:$B$114,2,FALSE),"")</f>
        <v/>
      </c>
      <c r="U66">
        <f>IFERROR(VLOOKUP(U3,Sheet2!$A$1:$B$114,2,FALSE),"")</f>
        <v>1124</v>
      </c>
      <c r="V66">
        <f>IFERROR(VLOOKUP(V3,Sheet2!$A$1:$B$114,2,FALSE),"")</f>
        <v>1132</v>
      </c>
      <c r="W66" t="str">
        <f>IFERROR(VLOOKUP(W3,Sheet2!$A$1:$B$114,2,FALSE),"")</f>
        <v/>
      </c>
      <c r="X66" t="str">
        <f>IFERROR(VLOOKUP(X3,Sheet2!$A$1:$B$114,2,FALSE),"")</f>
        <v/>
      </c>
      <c r="Y66" t="str">
        <f>IFERROR(VLOOKUP(Y3,Sheet2!$A$1:$B$114,2,FALSE),"")</f>
        <v/>
      </c>
      <c r="Z66" t="str">
        <f>IFERROR(VLOOKUP(Z3,Sheet2!$A$1:$B$114,2,FALSE),"")</f>
        <v/>
      </c>
      <c r="AA66" t="str">
        <f>IFERROR(VLOOKUP(AA3,Sheet2!$A$1:$B$114,2,FALSE),"")</f>
        <v/>
      </c>
      <c r="AB66" t="str">
        <f>IFERROR(VLOOKUP(AB3,Sheet2!$A$1:$B$114,2,FALSE),"")</f>
        <v/>
      </c>
      <c r="AC66" t="str">
        <f>IFERROR(VLOOKUP(AC3,Sheet2!$A$1:$B$114,2,FALSE),"")</f>
        <v/>
      </c>
    </row>
    <row r="67" spans="1:29">
      <c r="A67" s="52" t="s">
        <v>4</v>
      </c>
      <c r="B67" t="str">
        <f t="shared" si="0"/>
        <v>1112,1111,1120,1115</v>
      </c>
      <c r="C67">
        <f>IFERROR(VLOOKUP(C4,Sheet2!$A$1:$B$114,2,FALSE),"")</f>
        <v>1112</v>
      </c>
      <c r="D67">
        <f>IFERROR(VLOOKUP(D4,Sheet2!$A$1:$B$114,2,FALSE),"")</f>
        <v>1111</v>
      </c>
      <c r="E67">
        <f>IFERROR(VLOOKUP(E4,Sheet2!$A$1:$B$114,2,FALSE),"")</f>
        <v>1120</v>
      </c>
      <c r="F67">
        <f>IFERROR(VLOOKUP(F4,Sheet2!$A$1:$B$114,2,FALSE),"")</f>
        <v>1115</v>
      </c>
      <c r="G67" t="str">
        <f t="shared" si="1"/>
        <v>1112,1111,1113</v>
      </c>
      <c r="H67">
        <f>IFERROR(VLOOKUP(H4,Sheet2!$A$1:$B$114,2,FALSE),"")</f>
        <v>1112</v>
      </c>
      <c r="I67">
        <f>IFERROR(VLOOKUP(I4,Sheet2!$A$1:$B$114,2,FALSE),"")</f>
        <v>1111</v>
      </c>
      <c r="J67">
        <f>IFERROR(VLOOKUP(J4,Sheet2!$A$1:$B$114,2,FALSE),"")</f>
        <v>1113</v>
      </c>
      <c r="K67" t="str">
        <f>IFERROR(VLOOKUP(K4,Sheet2!$A$1:$B$114,2,FALSE),"")</f>
        <v/>
      </c>
      <c r="L67">
        <f>IFERROR(VLOOKUP(L4,Sheet2!$A$1:$B$114,2,FALSE),"")</f>
        <v>1112</v>
      </c>
      <c r="M67">
        <f>IFERROR(VLOOKUP(M4,Sheet2!$A$1:$B$114,2,FALSE),"")</f>
        <v>1115</v>
      </c>
      <c r="N67" t="str">
        <f>IFERROR(VLOOKUP(N4,Sheet2!$A$1:$B$114,2,FALSE),"")</f>
        <v/>
      </c>
      <c r="O67">
        <f>IFERROR(VLOOKUP(O4,Sheet2!$A$1:$B$114,2,FALSE),"")</f>
        <v>1112</v>
      </c>
      <c r="P67">
        <f>IFERROR(VLOOKUP(P4,Sheet2!$A$1:$B$114,2,FALSE),"")</f>
        <v>1114</v>
      </c>
      <c r="Q67" t="str">
        <f>IFERROR(VLOOKUP(Q4,Sheet2!$A$1:$B$114,2,FALSE),"")</f>
        <v/>
      </c>
      <c r="R67">
        <f>IFERROR(VLOOKUP(R4,Sheet2!$A$1:$B$114,2,FALSE),"")</f>
        <v>1112</v>
      </c>
      <c r="S67">
        <f>IFERROR(VLOOKUP(S4,Sheet2!$A$1:$B$114,2,FALSE),"")</f>
        <v>1137</v>
      </c>
      <c r="T67" t="str">
        <f>IFERROR(VLOOKUP(T4,Sheet2!$A$1:$B$114,2,FALSE),"")</f>
        <v/>
      </c>
      <c r="U67">
        <f>IFERROR(VLOOKUP(U4,Sheet2!$A$1:$B$114,2,FALSE),"")</f>
        <v>1112</v>
      </c>
      <c r="V67">
        <f>IFERROR(VLOOKUP(V4,Sheet2!$A$1:$B$114,2,FALSE),"")</f>
        <v>1208</v>
      </c>
      <c r="W67" t="str">
        <f>IFERROR(VLOOKUP(W4,Sheet2!$A$1:$B$114,2,FALSE),"")</f>
        <v/>
      </c>
      <c r="X67" t="str">
        <f>IFERROR(VLOOKUP(X4,Sheet2!$A$1:$B$114,2,FALSE),"")</f>
        <v/>
      </c>
      <c r="Y67" t="str">
        <f>IFERROR(VLOOKUP(Y4,Sheet2!$A$1:$B$114,2,FALSE),"")</f>
        <v/>
      </c>
      <c r="Z67" t="str">
        <f>IFERROR(VLOOKUP(Z4,Sheet2!$A$1:$B$114,2,FALSE),"")</f>
        <v/>
      </c>
      <c r="AA67" t="str">
        <f>IFERROR(VLOOKUP(AA4,Sheet2!$A$1:$B$114,2,FALSE),"")</f>
        <v/>
      </c>
      <c r="AB67" t="str">
        <f>IFERROR(VLOOKUP(AB4,Sheet2!$A$1:$B$114,2,FALSE),"")</f>
        <v/>
      </c>
      <c r="AC67" t="str">
        <f>IFERROR(VLOOKUP(AC4,Sheet2!$A$1:$B$114,2,FALSE),"")</f>
        <v/>
      </c>
    </row>
    <row r="68" spans="1:29">
      <c r="A68" s="52" t="s">
        <v>91</v>
      </c>
      <c r="B68" t="str">
        <f t="shared" si="0"/>
        <v>1112,1111,1120,1115</v>
      </c>
      <c r="C68">
        <f>IFERROR(VLOOKUP(C5,Sheet2!$A$1:$B$114,2,FALSE),"")</f>
        <v>1112</v>
      </c>
      <c r="D68">
        <f>IFERROR(VLOOKUP(D5,Sheet2!$A$1:$B$114,2,FALSE),"")</f>
        <v>1111</v>
      </c>
      <c r="E68">
        <f>IFERROR(VLOOKUP(E5,Sheet2!$A$1:$B$114,2,FALSE),"")</f>
        <v>1120</v>
      </c>
      <c r="F68">
        <f>IFERROR(VLOOKUP(F5,Sheet2!$A$1:$B$114,2,FALSE),"")</f>
        <v>1115</v>
      </c>
      <c r="G68" t="str">
        <f t="shared" si="1"/>
        <v>1112,1111,1113</v>
      </c>
      <c r="H68">
        <f>IFERROR(VLOOKUP(H5,Sheet2!$A$1:$B$114,2,FALSE),"")</f>
        <v>1112</v>
      </c>
      <c r="I68">
        <f>IFERROR(VLOOKUP(I5,Sheet2!$A$1:$B$114,2,FALSE),"")</f>
        <v>1111</v>
      </c>
      <c r="J68">
        <f>IFERROR(VLOOKUP(J5,Sheet2!$A$1:$B$114,2,FALSE),"")</f>
        <v>1113</v>
      </c>
      <c r="K68" t="str">
        <f>IFERROR(VLOOKUP(K5,Sheet2!$A$1:$B$114,2,FALSE),"")</f>
        <v/>
      </c>
      <c r="L68">
        <f>IFERROR(VLOOKUP(L5,Sheet2!$A$1:$B$114,2,FALSE),"")</f>
        <v>1111</v>
      </c>
      <c r="M68">
        <f>IFERROR(VLOOKUP(M5,Sheet2!$A$1:$B$114,2,FALSE),"")</f>
        <v>1115</v>
      </c>
      <c r="N68" t="str">
        <f>IFERROR(VLOOKUP(N5,Sheet2!$A$1:$B$114,2,FALSE),"")</f>
        <v/>
      </c>
      <c r="O68">
        <f>IFERROR(VLOOKUP(O5,Sheet2!$A$1:$B$114,2,FALSE),"")</f>
        <v>1111</v>
      </c>
      <c r="P68">
        <f>IFERROR(VLOOKUP(P5,Sheet2!$A$1:$B$114,2,FALSE),"")</f>
        <v>1131</v>
      </c>
      <c r="Q68" t="str">
        <f>IFERROR(VLOOKUP(Q5,Sheet2!$A$1:$B$114,2,FALSE),"")</f>
        <v/>
      </c>
      <c r="R68">
        <f>IFERROR(VLOOKUP(R5,Sheet2!$A$1:$B$114,2,FALSE),"")</f>
        <v>1111</v>
      </c>
      <c r="S68">
        <f>IFERROR(VLOOKUP(S5,Sheet2!$A$1:$B$114,2,FALSE),"")</f>
        <v>1208</v>
      </c>
      <c r="T68" t="str">
        <f>IFERROR(VLOOKUP(T5,Sheet2!$A$1:$B$114,2,FALSE),"")</f>
        <v/>
      </c>
      <c r="U68">
        <f>IFERROR(VLOOKUP(U5,Sheet2!$A$1:$B$114,2,FALSE),"")</f>
        <v>1111</v>
      </c>
      <c r="V68">
        <f>IFERROR(VLOOKUP(V5,Sheet2!$A$1:$B$114,2,FALSE),"")</f>
        <v>1114</v>
      </c>
      <c r="W68" t="str">
        <f>IFERROR(VLOOKUP(W5,Sheet2!$A$1:$B$114,2,FALSE),"")</f>
        <v/>
      </c>
      <c r="X68" t="str">
        <f>IFERROR(VLOOKUP(X5,Sheet2!$A$1:$B$114,2,FALSE),"")</f>
        <v/>
      </c>
      <c r="Y68" t="str">
        <f>IFERROR(VLOOKUP(Y5,Sheet2!$A$1:$B$114,2,FALSE),"")</f>
        <v/>
      </c>
      <c r="Z68" t="str">
        <f>IFERROR(VLOOKUP(Z5,Sheet2!$A$1:$B$114,2,FALSE),"")</f>
        <v/>
      </c>
      <c r="AA68" t="str">
        <f>IFERROR(VLOOKUP(AA5,Sheet2!$A$1:$B$114,2,FALSE),"")</f>
        <v/>
      </c>
      <c r="AB68" t="str">
        <f>IFERROR(VLOOKUP(AB5,Sheet2!$A$1:$B$114,2,FALSE),"")</f>
        <v/>
      </c>
      <c r="AC68" t="str">
        <f>IFERROR(VLOOKUP(AC5,Sheet2!$A$1:$B$114,2,FALSE),"")</f>
        <v/>
      </c>
    </row>
    <row r="69" spans="1:29">
      <c r="A69" s="52" t="s">
        <v>138</v>
      </c>
      <c r="B69" t="str">
        <f t="shared" si="0"/>
        <v>1119,1124,1113,1116</v>
      </c>
      <c r="C69">
        <f>IFERROR(VLOOKUP(C6,Sheet2!$A$1:$B$114,2,FALSE),"")</f>
        <v>1119</v>
      </c>
      <c r="D69">
        <f>IFERROR(VLOOKUP(D6,Sheet2!$A$1:$B$114,2,FALSE),"")</f>
        <v>1124</v>
      </c>
      <c r="E69">
        <f>IFERROR(VLOOKUP(E6,Sheet2!$A$1:$B$114,2,FALSE),"")</f>
        <v>1113</v>
      </c>
      <c r="F69">
        <f>IFERROR(VLOOKUP(F6,Sheet2!$A$1:$B$114,2,FALSE),"")</f>
        <v>1116</v>
      </c>
      <c r="G69" t="str">
        <f t="shared" si="1"/>
        <v>1112,1111,1113</v>
      </c>
      <c r="H69">
        <f>IFERROR(VLOOKUP(H6,Sheet2!$A$1:$B$114,2,FALSE),"")</f>
        <v>1112</v>
      </c>
      <c r="I69">
        <f>IFERROR(VLOOKUP(I6,Sheet2!$A$1:$B$114,2,FALSE),"")</f>
        <v>1111</v>
      </c>
      <c r="J69">
        <f>IFERROR(VLOOKUP(J6,Sheet2!$A$1:$B$114,2,FALSE),"")</f>
        <v>1113</v>
      </c>
      <c r="K69" t="str">
        <f>IFERROR(VLOOKUP(K6,Sheet2!$A$1:$B$114,2,FALSE),"")</f>
        <v/>
      </c>
      <c r="L69">
        <f>IFERROR(VLOOKUP(L6,Sheet2!$A$1:$B$114,2,FALSE),"")</f>
        <v>1113</v>
      </c>
      <c r="M69">
        <f>IFERROR(VLOOKUP(M6,Sheet2!$A$1:$B$114,2,FALSE),"")</f>
        <v>1116</v>
      </c>
      <c r="N69">
        <f>IFERROR(VLOOKUP(N6,Sheet2!$A$1:$B$114,2,FALSE),"")</f>
        <v>1115</v>
      </c>
      <c r="O69" t="str">
        <f>IFERROR(VLOOKUP(O6,Sheet2!$A$1:$B$114,2,FALSE),"")</f>
        <v/>
      </c>
      <c r="P69">
        <f>IFERROR(VLOOKUP(P6,Sheet2!$A$1:$B$114,2,FALSE),"")</f>
        <v>1113</v>
      </c>
      <c r="Q69">
        <f>IFERROR(VLOOKUP(Q6,Sheet2!$A$1:$B$114,2,FALSE),"")</f>
        <v>1117</v>
      </c>
      <c r="R69" t="str">
        <f>IFERROR(VLOOKUP(R6,Sheet2!$A$1:$B$114,2,FALSE),"")</f>
        <v/>
      </c>
      <c r="S69">
        <f>IFERROR(VLOOKUP(S6,Sheet2!$A$1:$B$114,2,FALSE),"")</f>
        <v>1113</v>
      </c>
      <c r="T69">
        <f>IFERROR(VLOOKUP(T6,Sheet2!$A$1:$B$114,2,FALSE),"")</f>
        <v>1132</v>
      </c>
      <c r="U69" t="str">
        <f>IFERROR(VLOOKUP(U6,Sheet2!$A$1:$B$114,2,FALSE),"")</f>
        <v/>
      </c>
      <c r="V69">
        <f>IFERROR(VLOOKUP(V6,Sheet2!$A$1:$B$114,2,FALSE),"")</f>
        <v>1120</v>
      </c>
      <c r="W69">
        <f>IFERROR(VLOOKUP(W6,Sheet2!$A$1:$B$114,2,FALSE),"")</f>
        <v>1113</v>
      </c>
      <c r="X69" t="str">
        <f>IFERROR(VLOOKUP(X6,Sheet2!$A$1:$B$114,2,FALSE),"")</f>
        <v/>
      </c>
      <c r="Y69" t="str">
        <f>IFERROR(VLOOKUP(Y6,Sheet2!$A$1:$B$114,2,FALSE),"")</f>
        <v/>
      </c>
      <c r="Z69" t="str">
        <f>IFERROR(VLOOKUP(Z6,Sheet2!$A$1:$B$114,2,FALSE),"")</f>
        <v/>
      </c>
      <c r="AA69" t="str">
        <f>IFERROR(VLOOKUP(AA6,Sheet2!$A$1:$B$114,2,FALSE),"")</f>
        <v/>
      </c>
      <c r="AB69" t="str">
        <f>IFERROR(VLOOKUP(AB6,Sheet2!$A$1:$B$114,2,FALSE),"")</f>
        <v/>
      </c>
      <c r="AC69" t="str">
        <f>IFERROR(VLOOKUP(AC6,Sheet2!$A$1:$B$114,2,FALSE),"")</f>
        <v/>
      </c>
    </row>
    <row r="70" spans="1:29">
      <c r="A70" s="52" t="s">
        <v>22</v>
      </c>
      <c r="B70" t="str">
        <f t="shared" si="0"/>
        <v>1112,1111,1120,1115</v>
      </c>
      <c r="C70">
        <f>IFERROR(VLOOKUP(C7,Sheet2!$A$1:$B$114,2,FALSE),"")</f>
        <v>1112</v>
      </c>
      <c r="D70">
        <f>IFERROR(VLOOKUP(D7,Sheet2!$A$1:$B$114,2,FALSE),"")</f>
        <v>1111</v>
      </c>
      <c r="E70">
        <f>IFERROR(VLOOKUP(E7,Sheet2!$A$1:$B$114,2,FALSE),"")</f>
        <v>1120</v>
      </c>
      <c r="F70">
        <f>IFERROR(VLOOKUP(F7,Sheet2!$A$1:$B$114,2,FALSE),"")</f>
        <v>1115</v>
      </c>
      <c r="G70" t="str">
        <f t="shared" si="1"/>
        <v>1119,1124,1120</v>
      </c>
      <c r="H70">
        <f>IFERROR(VLOOKUP(H7,Sheet2!$A$1:$B$114,2,FALSE),"")</f>
        <v>1119</v>
      </c>
      <c r="I70">
        <f>IFERROR(VLOOKUP(I7,Sheet2!$A$1:$B$114,2,FALSE),"")</f>
        <v>1124</v>
      </c>
      <c r="J70">
        <f>IFERROR(VLOOKUP(J7,Sheet2!$A$1:$B$114,2,FALSE),"")</f>
        <v>1120</v>
      </c>
      <c r="K70" t="str">
        <f>IFERROR(VLOOKUP(K7,Sheet2!$A$1:$B$114,2,FALSE),"")</f>
        <v/>
      </c>
      <c r="L70">
        <f>IFERROR(VLOOKUP(L7,Sheet2!$A$1:$B$114,2,FALSE),"")</f>
        <v>1120</v>
      </c>
      <c r="M70">
        <f>IFERROR(VLOOKUP(M7,Sheet2!$A$1:$B$114,2,FALSE),"")</f>
        <v>1116</v>
      </c>
      <c r="N70">
        <f>IFERROR(VLOOKUP(N7,Sheet2!$A$1:$B$114,2,FALSE),"")</f>
        <v>1115</v>
      </c>
      <c r="O70" t="str">
        <f>IFERROR(VLOOKUP(O7,Sheet2!$A$1:$B$114,2,FALSE),"")</f>
        <v/>
      </c>
      <c r="P70">
        <f>IFERROR(VLOOKUP(P7,Sheet2!$A$1:$B$114,2,FALSE),"")</f>
        <v>1120</v>
      </c>
      <c r="Q70">
        <f>IFERROR(VLOOKUP(Q7,Sheet2!$A$1:$B$114,2,FALSE),"")</f>
        <v>1117</v>
      </c>
      <c r="R70" t="str">
        <f>IFERROR(VLOOKUP(R7,Sheet2!$A$1:$B$114,2,FALSE),"")</f>
        <v/>
      </c>
      <c r="S70">
        <f>IFERROR(VLOOKUP(S7,Sheet2!$A$1:$B$114,2,FALSE),"")</f>
        <v>1120</v>
      </c>
      <c r="T70">
        <f>IFERROR(VLOOKUP(T7,Sheet2!$A$1:$B$114,2,FALSE),"")</f>
        <v>1132</v>
      </c>
      <c r="U70" t="str">
        <f>IFERROR(VLOOKUP(U7,Sheet2!$A$1:$B$114,2,FALSE),"")</f>
        <v/>
      </c>
      <c r="V70">
        <f>IFERROR(VLOOKUP(V7,Sheet2!$A$1:$B$114,2,FALSE),"")</f>
        <v>1120</v>
      </c>
      <c r="W70">
        <f>IFERROR(VLOOKUP(W7,Sheet2!$A$1:$B$114,2,FALSE),"")</f>
        <v>1113</v>
      </c>
      <c r="X70" t="str">
        <f>IFERROR(VLOOKUP(X7,Sheet2!$A$1:$B$114,2,FALSE),"")</f>
        <v/>
      </c>
      <c r="Y70" t="str">
        <f>IFERROR(VLOOKUP(Y7,Sheet2!$A$1:$B$114,2,FALSE),"")</f>
        <v/>
      </c>
      <c r="Z70" t="str">
        <f>IFERROR(VLOOKUP(Z7,Sheet2!$A$1:$B$114,2,FALSE),"")</f>
        <v/>
      </c>
      <c r="AA70" t="str">
        <f>IFERROR(VLOOKUP(AA7,Sheet2!$A$1:$B$114,2,FALSE),"")</f>
        <v/>
      </c>
      <c r="AB70" t="str">
        <f>IFERROR(VLOOKUP(AB7,Sheet2!$A$1:$B$114,2,FALSE),"")</f>
        <v/>
      </c>
      <c r="AC70" t="str">
        <f>IFERROR(VLOOKUP(AC7,Sheet2!$A$1:$B$114,2,FALSE),"")</f>
        <v/>
      </c>
    </row>
    <row r="71" spans="1:29">
      <c r="A71" s="53" t="s">
        <v>140</v>
      </c>
      <c r="B71" t="str">
        <f t="shared" si="0"/>
        <v>1119,1124,1113,1116</v>
      </c>
      <c r="C71">
        <f>IFERROR(VLOOKUP(C8,Sheet2!$A$1:$B$114,2,FALSE),"")</f>
        <v>1119</v>
      </c>
      <c r="D71">
        <f>IFERROR(VLOOKUP(D8,Sheet2!$A$1:$B$114,2,FALSE),"")</f>
        <v>1124</v>
      </c>
      <c r="E71">
        <f>IFERROR(VLOOKUP(E8,Sheet2!$A$1:$B$114,2,FALSE),"")</f>
        <v>1113</v>
      </c>
      <c r="F71">
        <f>IFERROR(VLOOKUP(F8,Sheet2!$A$1:$B$114,2,FALSE),"")</f>
        <v>1116</v>
      </c>
      <c r="G71" t="str">
        <f t="shared" si="1"/>
        <v>1120,1116,1115</v>
      </c>
      <c r="H71">
        <f>IFERROR(VLOOKUP(H8,Sheet2!$A$1:$B$114,2,FALSE),"")</f>
        <v>1120</v>
      </c>
      <c r="I71">
        <f>IFERROR(VLOOKUP(I8,Sheet2!$A$1:$B$114,2,FALSE),"")</f>
        <v>1116</v>
      </c>
      <c r="J71">
        <f>IFERROR(VLOOKUP(J8,Sheet2!$A$1:$B$114,2,FALSE),"")</f>
        <v>1115</v>
      </c>
      <c r="K71" t="str">
        <f>IFERROR(VLOOKUP(K8,Sheet2!$A$1:$B$114,2,FALSE),"")</f>
        <v/>
      </c>
      <c r="L71">
        <f>IFERROR(VLOOKUP(L8,Sheet2!$A$1:$B$114,2,FALSE),"")</f>
        <v>1113</v>
      </c>
      <c r="M71">
        <f>IFERROR(VLOOKUP(M8,Sheet2!$A$1:$B$114,2,FALSE),"")</f>
        <v>1116</v>
      </c>
      <c r="N71">
        <f>IFERROR(VLOOKUP(N8,Sheet2!$A$1:$B$114,2,FALSE),"")</f>
        <v>1115</v>
      </c>
      <c r="O71" t="str">
        <f>IFERROR(VLOOKUP(O8,Sheet2!$A$1:$B$114,2,FALSE),"")</f>
        <v/>
      </c>
      <c r="P71">
        <f>IFERROR(VLOOKUP(P8,Sheet2!$A$1:$B$114,2,FALSE),"")</f>
        <v>1119</v>
      </c>
      <c r="Q71">
        <f>IFERROR(VLOOKUP(Q8,Sheet2!$A$1:$B$114,2,FALSE),"")</f>
        <v>1116</v>
      </c>
      <c r="R71" t="str">
        <f>IFERROR(VLOOKUP(R8,Sheet2!$A$1:$B$114,2,FALSE),"")</f>
        <v/>
      </c>
      <c r="S71">
        <f>IFERROR(VLOOKUP(S8,Sheet2!$A$1:$B$114,2,FALSE),"")</f>
        <v>1124</v>
      </c>
      <c r="T71">
        <f>IFERROR(VLOOKUP(T8,Sheet2!$A$1:$B$114,2,FALSE),"")</f>
        <v>1116</v>
      </c>
      <c r="U71" t="str">
        <f>IFERROR(VLOOKUP(U8,Sheet2!$A$1:$B$114,2,FALSE),"")</f>
        <v/>
      </c>
      <c r="V71" t="str">
        <f>IFERROR(VLOOKUP(V8,Sheet2!$A$1:$B$114,2,FALSE),"")</f>
        <v/>
      </c>
      <c r="W71" t="str">
        <f>IFERROR(VLOOKUP(W8,Sheet2!$A$1:$B$114,2,FALSE),"")</f>
        <v/>
      </c>
      <c r="X71" t="str">
        <f>IFERROR(VLOOKUP(X8,Sheet2!$A$1:$B$114,2,FALSE),"")</f>
        <v/>
      </c>
      <c r="Y71" t="str">
        <f>IFERROR(VLOOKUP(Y8,Sheet2!$A$1:$B$114,2,FALSE),"")</f>
        <v/>
      </c>
      <c r="Z71" t="str">
        <f>IFERROR(VLOOKUP(Z8,Sheet2!$A$1:$B$114,2,FALSE),"")</f>
        <v/>
      </c>
      <c r="AA71" t="str">
        <f>IFERROR(VLOOKUP(AA8,Sheet2!$A$1:$B$114,2,FALSE),"")</f>
        <v/>
      </c>
      <c r="AB71" t="str">
        <f>IFERROR(VLOOKUP(AB8,Sheet2!$A$1:$B$114,2,FALSE),"")</f>
        <v/>
      </c>
      <c r="AC71" t="str">
        <f>IFERROR(VLOOKUP(AC8,Sheet2!$A$1:$B$114,2,FALSE),"")</f>
        <v/>
      </c>
    </row>
    <row r="72" spans="1:29">
      <c r="A72" s="53" t="s">
        <v>153</v>
      </c>
      <c r="B72" t="str">
        <f>C72&amp;","&amp;D72&amp;","&amp;E72&amp;","&amp;F72</f>
        <v>1112,1111,1120,1115</v>
      </c>
      <c r="C72">
        <f>IFERROR(VLOOKUP(C9,Sheet2!$A$1:$B$114,2,FALSE),"")</f>
        <v>1112</v>
      </c>
      <c r="D72">
        <f>IFERROR(VLOOKUP(D9,Sheet2!$A$1:$B$114,2,FALSE),"")</f>
        <v>1111</v>
      </c>
      <c r="E72">
        <f>IFERROR(VLOOKUP(E9,Sheet2!$A$1:$B$114,2,FALSE),"")</f>
        <v>1120</v>
      </c>
      <c r="F72">
        <f>IFERROR(VLOOKUP(F9,Sheet2!$A$1:$B$114,2,FALSE),"")</f>
        <v>1115</v>
      </c>
      <c r="G72" t="str">
        <f>H72&amp;","&amp;I72&amp;","&amp;J72</f>
        <v>1120,1116,1115</v>
      </c>
      <c r="H72">
        <f>IFERROR(VLOOKUP(H9,Sheet2!$A$1:$B$114,2,FALSE),"")</f>
        <v>1120</v>
      </c>
      <c r="I72">
        <f>IFERROR(VLOOKUP(I9,Sheet2!$A$1:$B$114,2,FALSE),"")</f>
        <v>1116</v>
      </c>
      <c r="J72">
        <f>IFERROR(VLOOKUP(J9,Sheet2!$A$1:$B$114,2,FALSE),"")</f>
        <v>1115</v>
      </c>
      <c r="K72" t="str">
        <f>IFERROR(VLOOKUP(K9,Sheet2!$A$1:$B$114,2,FALSE),"")</f>
        <v/>
      </c>
      <c r="L72">
        <f>IFERROR(VLOOKUP(L9,Sheet2!$A$1:$B$114,2,FALSE),"")</f>
        <v>1113</v>
      </c>
      <c r="M72">
        <f>IFERROR(VLOOKUP(M9,Sheet2!$A$1:$B$114,2,FALSE),"")</f>
        <v>1116</v>
      </c>
      <c r="N72">
        <f>IFERROR(VLOOKUP(N9,Sheet2!$A$1:$B$114,2,FALSE),"")</f>
        <v>1115</v>
      </c>
      <c r="O72" t="str">
        <f>IFERROR(VLOOKUP(O9,Sheet2!$A$1:$B$114,2,FALSE),"")</f>
        <v/>
      </c>
      <c r="P72">
        <f>IFERROR(VLOOKUP(P9,Sheet2!$A$1:$B$114,2,FALSE),"")</f>
        <v>1112</v>
      </c>
      <c r="Q72">
        <f>IFERROR(VLOOKUP(Q9,Sheet2!$A$1:$B$114,2,FALSE),"")</f>
        <v>1115</v>
      </c>
      <c r="R72" t="str">
        <f>IFERROR(VLOOKUP(R9,Sheet2!$A$1:$B$114,2,FALSE),"")</f>
        <v/>
      </c>
      <c r="S72">
        <f>IFERROR(VLOOKUP(S9,Sheet2!$A$1:$B$114,2,FALSE),"")</f>
        <v>1111</v>
      </c>
      <c r="T72">
        <f>IFERROR(VLOOKUP(T9,Sheet2!$A$1:$B$114,2,FALSE),"")</f>
        <v>1115</v>
      </c>
      <c r="U72" t="str">
        <f>IFERROR(VLOOKUP(U9,Sheet2!$A$1:$B$114,2,FALSE),"")</f>
        <v/>
      </c>
      <c r="V72" t="str">
        <f>IFERROR(VLOOKUP(V9,Sheet2!$A$1:$B$114,2,FALSE),"")</f>
        <v/>
      </c>
      <c r="W72" t="str">
        <f>IFERROR(VLOOKUP(W9,Sheet2!$A$1:$B$114,2,FALSE),"")</f>
        <v/>
      </c>
      <c r="X72" t="str">
        <f>IFERROR(VLOOKUP(X9,Sheet2!$A$1:$B$114,2,FALSE),"")</f>
        <v/>
      </c>
      <c r="Y72" t="str">
        <f>IFERROR(VLOOKUP(Y9,Sheet2!$A$1:$B$114,2,FALSE),"")</f>
        <v/>
      </c>
      <c r="Z72" t="str">
        <f>IFERROR(VLOOKUP(Z9,Sheet2!$A$1:$B$114,2,FALSE),"")</f>
        <v/>
      </c>
      <c r="AA72" t="str">
        <f>IFERROR(VLOOKUP(AA9,Sheet2!$A$1:$B$114,2,FALSE),"")</f>
        <v/>
      </c>
      <c r="AB72" t="str">
        <f>IFERROR(VLOOKUP(AB9,Sheet2!$A$1:$B$114,2,FALSE),"")</f>
        <v/>
      </c>
      <c r="AC72" t="str">
        <f>IFERROR(VLOOKUP(AC9,Sheet2!$A$1:$B$114,2,FALSE),"")</f>
        <v/>
      </c>
    </row>
    <row r="73" spans="1:29">
      <c r="A73" s="53" t="s">
        <v>24</v>
      </c>
      <c r="B73" t="str">
        <f>C73&amp;","&amp;D73&amp;","&amp;E73</f>
        <v>1117,1132,1208</v>
      </c>
      <c r="C73">
        <f>IFERROR(VLOOKUP(C10,Sheet2!$A$1:$B$114,2,FALSE),"")</f>
        <v>1117</v>
      </c>
      <c r="D73">
        <f>IFERROR(VLOOKUP(D10,Sheet2!$A$1:$B$114,2,FALSE),"")</f>
        <v>1132</v>
      </c>
      <c r="E73">
        <f>IFERROR(VLOOKUP(E10,Sheet2!$A$1:$B$114,2,FALSE),"")</f>
        <v>1208</v>
      </c>
      <c r="F73" t="str">
        <f>IFERROR(VLOOKUP(F10,Sheet2!$A$1:$B$114,2,FALSE),"")</f>
        <v/>
      </c>
      <c r="G73">
        <f>IFERROR(VLOOKUP(G10,Sheet2!$A$1:$B$114,2,FALSE),"")</f>
        <v>1117</v>
      </c>
      <c r="H73">
        <f>IFERROR(VLOOKUP(H10,Sheet2!$A$1:$B$114,2,FALSE),"")</f>
        <v>1131</v>
      </c>
      <c r="I73">
        <f>IFERROR(VLOOKUP(I10,Sheet2!$A$1:$B$114,2,FALSE),"")</f>
        <v>1137</v>
      </c>
      <c r="J73" t="str">
        <f>IFERROR(VLOOKUP(J10,Sheet2!$A$1:$B$114,2,FALSE),"")</f>
        <v/>
      </c>
      <c r="K73">
        <f>IFERROR(VLOOKUP(K10,Sheet2!$A$1:$B$114,2,FALSE),"")</f>
        <v>1120</v>
      </c>
      <c r="L73">
        <f>IFERROR(VLOOKUP(L10,Sheet2!$A$1:$B$114,2,FALSE),"")</f>
        <v>1117</v>
      </c>
      <c r="M73" t="str">
        <f>IFERROR(VLOOKUP(M10,Sheet2!$A$1:$B$114,2,FALSE),"")</f>
        <v/>
      </c>
      <c r="N73">
        <f>IFERROR(VLOOKUP(N10,Sheet2!$A$1:$B$114,2,FALSE),"")</f>
        <v>1113</v>
      </c>
      <c r="O73">
        <f>IFERROR(VLOOKUP(O10,Sheet2!$A$1:$B$114,2,FALSE),"")</f>
        <v>1117</v>
      </c>
      <c r="P73" t="str">
        <f>IFERROR(VLOOKUP(P10,Sheet2!$A$1:$B$114,2,FALSE),"")</f>
        <v/>
      </c>
      <c r="Q73">
        <f>IFERROR(VLOOKUP(Q10,Sheet2!$A$1:$B$114,2,FALSE),"")</f>
        <v>1119</v>
      </c>
      <c r="R73">
        <f>IFERROR(VLOOKUP(R10,Sheet2!$A$1:$B$114,2,FALSE),"")</f>
        <v>1117</v>
      </c>
      <c r="S73" t="str">
        <f>IFERROR(VLOOKUP(S10,Sheet2!$A$1:$B$114,2,FALSE),"")</f>
        <v/>
      </c>
      <c r="T73" t="str">
        <f>IFERROR(VLOOKUP(T10,Sheet2!$A$1:$B$114,2,FALSE),"")</f>
        <v/>
      </c>
      <c r="U73" t="str">
        <f>IFERROR(VLOOKUP(U10,Sheet2!$A$1:$B$114,2,FALSE),"")</f>
        <v/>
      </c>
      <c r="V73" t="str">
        <f>IFERROR(VLOOKUP(V10,Sheet2!$A$1:$B$114,2,FALSE),"")</f>
        <v/>
      </c>
      <c r="W73" t="str">
        <f>IFERROR(VLOOKUP(W10,Sheet2!$A$1:$B$114,2,FALSE),"")</f>
        <v/>
      </c>
      <c r="X73" t="str">
        <f>IFERROR(VLOOKUP(X10,Sheet2!$A$1:$B$114,2,FALSE),"")</f>
        <v/>
      </c>
      <c r="Y73" t="str">
        <f>IFERROR(VLOOKUP(Y10,Sheet2!$A$1:$B$114,2,FALSE),"")</f>
        <v/>
      </c>
      <c r="Z73" t="str">
        <f>IFERROR(VLOOKUP(Z10,Sheet2!$A$1:$B$114,2,FALSE),"")</f>
        <v/>
      </c>
      <c r="AA73" t="str">
        <f>IFERROR(VLOOKUP(AA10,Sheet2!$A$1:$B$114,2,FALSE),"")</f>
        <v/>
      </c>
      <c r="AB73" t="str">
        <f>IFERROR(VLOOKUP(AB10,Sheet2!$A$1:$B$114,2,FALSE),"")</f>
        <v/>
      </c>
      <c r="AC73" t="str">
        <f>IFERROR(VLOOKUP(AC10,Sheet2!$A$1:$B$114,2,FALSE),"")</f>
        <v/>
      </c>
    </row>
    <row r="74" spans="1:29">
      <c r="A74" s="53" t="s">
        <v>152</v>
      </c>
      <c r="B74" t="str">
        <f t="shared" ref="B74:B81" si="2">C74&amp;","&amp;D74&amp;","&amp;E74</f>
        <v>1114,1131,1208</v>
      </c>
      <c r="C74">
        <f>IFERROR(VLOOKUP(C11,Sheet2!$A$1:$B$114,2,FALSE),"")</f>
        <v>1114</v>
      </c>
      <c r="D74">
        <f>IFERROR(VLOOKUP(D11,Sheet2!$A$1:$B$114,2,FALSE),"")</f>
        <v>1131</v>
      </c>
      <c r="E74">
        <f>IFERROR(VLOOKUP(E11,Sheet2!$A$1:$B$114,2,FALSE),"")</f>
        <v>1208</v>
      </c>
      <c r="F74" t="str">
        <f>IFERROR(VLOOKUP(F11,Sheet2!$A$1:$B$114,2,FALSE),"")</f>
        <v/>
      </c>
      <c r="G74">
        <f>IFERROR(VLOOKUP(G11,Sheet2!$A$1:$B$114,2,FALSE),"")</f>
        <v>1132</v>
      </c>
      <c r="H74">
        <f>IFERROR(VLOOKUP(H11,Sheet2!$A$1:$B$114,2,FALSE),"")</f>
        <v>1137</v>
      </c>
      <c r="I74">
        <f>IFERROR(VLOOKUP(I11,Sheet2!$A$1:$B$114,2,FALSE),"")</f>
        <v>1114</v>
      </c>
      <c r="J74" t="str">
        <f>IFERROR(VLOOKUP(J11,Sheet2!$A$1:$B$114,2,FALSE),"")</f>
        <v/>
      </c>
      <c r="K74">
        <f>IFERROR(VLOOKUP(K11,Sheet2!$A$1:$B$114,2,FALSE),"")</f>
        <v>1119</v>
      </c>
      <c r="L74">
        <f>IFERROR(VLOOKUP(L11,Sheet2!$A$1:$B$114,2,FALSE),"")</f>
        <v>1114</v>
      </c>
      <c r="M74" t="str">
        <f>IFERROR(VLOOKUP(M11,Sheet2!$A$1:$B$114,2,FALSE),"")</f>
        <v/>
      </c>
      <c r="N74">
        <f>IFERROR(VLOOKUP(N11,Sheet2!$A$1:$B$114,2,FALSE),"")</f>
        <v>1112</v>
      </c>
      <c r="O74">
        <f>IFERROR(VLOOKUP(O11,Sheet2!$A$1:$B$114,2,FALSE),"")</f>
        <v>1114</v>
      </c>
      <c r="P74" t="str">
        <f>IFERROR(VLOOKUP(P11,Sheet2!$A$1:$B$114,2,FALSE),"")</f>
        <v/>
      </c>
      <c r="Q74">
        <f>IFERROR(VLOOKUP(Q11,Sheet2!$A$1:$B$114,2,FALSE),"")</f>
        <v>1111</v>
      </c>
      <c r="R74">
        <f>IFERROR(VLOOKUP(R11,Sheet2!$A$1:$B$114,2,FALSE),"")</f>
        <v>1114</v>
      </c>
      <c r="S74" t="str">
        <f>IFERROR(VLOOKUP(S11,Sheet2!$A$1:$B$114,2,FALSE),"")</f>
        <v/>
      </c>
      <c r="T74" t="str">
        <f>IFERROR(VLOOKUP(T11,Sheet2!$A$1:$B$114,2,FALSE),"")</f>
        <v/>
      </c>
      <c r="U74" t="str">
        <f>IFERROR(VLOOKUP(U11,Sheet2!$A$1:$B$114,2,FALSE),"")</f>
        <v/>
      </c>
      <c r="V74" t="str">
        <f>IFERROR(VLOOKUP(V11,Sheet2!$A$1:$B$114,2,FALSE),"")</f>
        <v/>
      </c>
      <c r="W74" t="str">
        <f>IFERROR(VLOOKUP(W11,Sheet2!$A$1:$B$114,2,FALSE),"")</f>
        <v/>
      </c>
      <c r="X74" t="str">
        <f>IFERROR(VLOOKUP(X11,Sheet2!$A$1:$B$114,2,FALSE),"")</f>
        <v/>
      </c>
      <c r="Y74" t="str">
        <f>IFERROR(VLOOKUP(Y11,Sheet2!$A$1:$B$114,2,FALSE),"")</f>
        <v/>
      </c>
      <c r="Z74" t="str">
        <f>IFERROR(VLOOKUP(Z11,Sheet2!$A$1:$B$114,2,FALSE),"")</f>
        <v/>
      </c>
      <c r="AA74" t="str">
        <f>IFERROR(VLOOKUP(AA11,Sheet2!$A$1:$B$114,2,FALSE),"")</f>
        <v/>
      </c>
      <c r="AB74" t="str">
        <f>IFERROR(VLOOKUP(AB11,Sheet2!$A$1:$B$114,2,FALSE),"")</f>
        <v/>
      </c>
      <c r="AC74" t="str">
        <f>IFERROR(VLOOKUP(AC11,Sheet2!$A$1:$B$114,2,FALSE),"")</f>
        <v/>
      </c>
    </row>
    <row r="75" spans="1:29">
      <c r="A75" s="53" t="s">
        <v>83</v>
      </c>
      <c r="B75" t="str">
        <f t="shared" si="2"/>
        <v>1117,1132,1208</v>
      </c>
      <c r="C75">
        <f>IFERROR(VLOOKUP(C12,Sheet2!$A$1:$B$114,2,FALSE),"")</f>
        <v>1117</v>
      </c>
      <c r="D75">
        <f>IFERROR(VLOOKUP(D12,Sheet2!$A$1:$B$114,2,FALSE),"")</f>
        <v>1132</v>
      </c>
      <c r="E75">
        <f>IFERROR(VLOOKUP(E12,Sheet2!$A$1:$B$114,2,FALSE),"")</f>
        <v>1208</v>
      </c>
      <c r="F75" t="str">
        <f>IFERROR(VLOOKUP(F12,Sheet2!$A$1:$B$114,2,FALSE),"")</f>
        <v/>
      </c>
      <c r="G75">
        <f>IFERROR(VLOOKUP(G12,Sheet2!$A$1:$B$114,2,FALSE),"")</f>
        <v>1132</v>
      </c>
      <c r="H75">
        <f>IFERROR(VLOOKUP(H12,Sheet2!$A$1:$B$114,2,FALSE),"")</f>
        <v>1137</v>
      </c>
      <c r="I75">
        <f>IFERROR(VLOOKUP(I12,Sheet2!$A$1:$B$114,2,FALSE),"")</f>
        <v>1114</v>
      </c>
      <c r="J75" t="str">
        <f>IFERROR(VLOOKUP(J12,Sheet2!$A$1:$B$114,2,FALSE),"")</f>
        <v/>
      </c>
      <c r="K75">
        <f>IFERROR(VLOOKUP(K12,Sheet2!$A$1:$B$114,2,FALSE),"")</f>
        <v>1120</v>
      </c>
      <c r="L75">
        <f>IFERROR(VLOOKUP(L12,Sheet2!$A$1:$B$114,2,FALSE),"")</f>
        <v>1132</v>
      </c>
      <c r="M75" t="str">
        <f>IFERROR(VLOOKUP(M12,Sheet2!$A$1:$B$114,2,FALSE),"")</f>
        <v/>
      </c>
      <c r="N75">
        <f>IFERROR(VLOOKUP(N12,Sheet2!$A$1:$B$114,2,FALSE),"")</f>
        <v>1113</v>
      </c>
      <c r="O75">
        <f>IFERROR(VLOOKUP(O12,Sheet2!$A$1:$B$114,2,FALSE),"")</f>
        <v>1132</v>
      </c>
      <c r="P75" t="str">
        <f>IFERROR(VLOOKUP(P12,Sheet2!$A$1:$B$114,2,FALSE),"")</f>
        <v/>
      </c>
      <c r="Q75">
        <f>IFERROR(VLOOKUP(Q12,Sheet2!$A$1:$B$114,2,FALSE),"")</f>
        <v>1124</v>
      </c>
      <c r="R75">
        <f>IFERROR(VLOOKUP(R12,Sheet2!$A$1:$B$114,2,FALSE),"")</f>
        <v>1132</v>
      </c>
      <c r="S75" t="str">
        <f>IFERROR(VLOOKUP(S12,Sheet2!$A$1:$B$114,2,FALSE),"")</f>
        <v/>
      </c>
      <c r="T75" t="str">
        <f>IFERROR(VLOOKUP(T12,Sheet2!$A$1:$B$114,2,FALSE),"")</f>
        <v/>
      </c>
      <c r="U75" t="str">
        <f>IFERROR(VLOOKUP(U12,Sheet2!$A$1:$B$114,2,FALSE),"")</f>
        <v/>
      </c>
      <c r="V75" t="str">
        <f>IFERROR(VLOOKUP(V12,Sheet2!$A$1:$B$114,2,FALSE),"")</f>
        <v/>
      </c>
      <c r="W75" t="str">
        <f>IFERROR(VLOOKUP(W12,Sheet2!$A$1:$B$114,2,FALSE),"")</f>
        <v/>
      </c>
      <c r="X75" t="str">
        <f>IFERROR(VLOOKUP(X12,Sheet2!$A$1:$B$114,2,FALSE),"")</f>
        <v/>
      </c>
      <c r="Y75" t="str">
        <f>IFERROR(VLOOKUP(Y12,Sheet2!$A$1:$B$114,2,FALSE),"")</f>
        <v/>
      </c>
      <c r="Z75" t="str">
        <f>IFERROR(VLOOKUP(Z12,Sheet2!$A$1:$B$114,2,FALSE),"")</f>
        <v/>
      </c>
      <c r="AA75" t="str">
        <f>IFERROR(VLOOKUP(AA12,Sheet2!$A$1:$B$114,2,FALSE),"")</f>
        <v/>
      </c>
      <c r="AB75" t="str">
        <f>IFERROR(VLOOKUP(AB12,Sheet2!$A$1:$B$114,2,FALSE),"")</f>
        <v/>
      </c>
      <c r="AC75" t="str">
        <f>IFERROR(VLOOKUP(AC12,Sheet2!$A$1:$B$114,2,FALSE),"")</f>
        <v/>
      </c>
    </row>
    <row r="76" spans="1:29">
      <c r="A76" s="53" t="s">
        <v>17</v>
      </c>
      <c r="B76" t="str">
        <f t="shared" si="2"/>
        <v>1114,1131,1208</v>
      </c>
      <c r="C76">
        <f>IFERROR(VLOOKUP(C13,Sheet2!$A$1:$B$114,2,FALSE),"")</f>
        <v>1114</v>
      </c>
      <c r="D76">
        <f>IFERROR(VLOOKUP(D13,Sheet2!$A$1:$B$114,2,FALSE),"")</f>
        <v>1131</v>
      </c>
      <c r="E76">
        <f>IFERROR(VLOOKUP(E13,Sheet2!$A$1:$B$114,2,FALSE),"")</f>
        <v>1208</v>
      </c>
      <c r="F76" t="str">
        <f>IFERROR(VLOOKUP(F13,Sheet2!$A$1:$B$114,2,FALSE),"")</f>
        <v/>
      </c>
      <c r="G76">
        <f>IFERROR(VLOOKUP(G13,Sheet2!$A$1:$B$114,2,FALSE),"")</f>
        <v>1117</v>
      </c>
      <c r="H76">
        <f>IFERROR(VLOOKUP(H13,Sheet2!$A$1:$B$114,2,FALSE),"")</f>
        <v>1131</v>
      </c>
      <c r="I76">
        <f>IFERROR(VLOOKUP(I13,Sheet2!$A$1:$B$114,2,FALSE),"")</f>
        <v>1137</v>
      </c>
      <c r="J76" t="str">
        <f>IFERROR(VLOOKUP(J13,Sheet2!$A$1:$B$114,2,FALSE),"")</f>
        <v/>
      </c>
      <c r="K76">
        <f>IFERROR(VLOOKUP(K13,Sheet2!$A$1:$B$114,2,FALSE),"")</f>
        <v>1124</v>
      </c>
      <c r="L76">
        <f>IFERROR(VLOOKUP(L13,Sheet2!$A$1:$B$114,2,FALSE),"")</f>
        <v>1131</v>
      </c>
      <c r="M76" t="str">
        <f>IFERROR(VLOOKUP(M13,Sheet2!$A$1:$B$114,2,FALSE),"")</f>
        <v/>
      </c>
      <c r="N76">
        <f>IFERROR(VLOOKUP(N13,Sheet2!$A$1:$B$114,2,FALSE),"")</f>
        <v>1111</v>
      </c>
      <c r="O76">
        <f>IFERROR(VLOOKUP(O13,Sheet2!$A$1:$B$114,2,FALSE),"")</f>
        <v>1131</v>
      </c>
      <c r="P76" t="str">
        <f>IFERROR(VLOOKUP(P13,Sheet2!$A$1:$B$114,2,FALSE),"")</f>
        <v/>
      </c>
      <c r="Q76">
        <f>IFERROR(VLOOKUP(Q13,Sheet2!$A$1:$B$114,2,FALSE),"")</f>
        <v>1131</v>
      </c>
      <c r="R76">
        <f>IFERROR(VLOOKUP(R13,Sheet2!$A$1:$B$114,2,FALSE),"")</f>
        <v>1137</v>
      </c>
      <c r="S76" t="str">
        <f>IFERROR(VLOOKUP(S13,Sheet2!$A$1:$B$114,2,FALSE),"")</f>
        <v/>
      </c>
      <c r="T76" t="str">
        <f>IFERROR(VLOOKUP(T13,Sheet2!$A$1:$B$114,2,FALSE),"")</f>
        <v/>
      </c>
      <c r="U76" t="str">
        <f>IFERROR(VLOOKUP(U13,Sheet2!$A$1:$B$114,2,FALSE),"")</f>
        <v/>
      </c>
      <c r="V76" t="str">
        <f>IFERROR(VLOOKUP(V13,Sheet2!$A$1:$B$114,2,FALSE),"")</f>
        <v/>
      </c>
      <c r="W76" t="str">
        <f>IFERROR(VLOOKUP(W13,Sheet2!$A$1:$B$114,2,FALSE),"")</f>
        <v/>
      </c>
      <c r="X76" t="str">
        <f>IFERROR(VLOOKUP(X13,Sheet2!$A$1:$B$114,2,FALSE),"")</f>
        <v/>
      </c>
      <c r="Y76" t="str">
        <f>IFERROR(VLOOKUP(Y13,Sheet2!$A$1:$B$114,2,FALSE),"")</f>
        <v/>
      </c>
      <c r="Z76" t="str">
        <f>IFERROR(VLOOKUP(Z13,Sheet2!$A$1:$B$114,2,FALSE),"")</f>
        <v/>
      </c>
      <c r="AA76" t="str">
        <f>IFERROR(VLOOKUP(AA13,Sheet2!$A$1:$B$114,2,FALSE),"")</f>
        <v/>
      </c>
      <c r="AB76" t="str">
        <f>IFERROR(VLOOKUP(AB13,Sheet2!$A$1:$B$114,2,FALSE),"")</f>
        <v/>
      </c>
      <c r="AC76" t="str">
        <f>IFERROR(VLOOKUP(AC13,Sheet2!$A$1:$B$114,2,FALSE),"")</f>
        <v/>
      </c>
    </row>
    <row r="77" spans="1:29">
      <c r="A77" s="53" t="s">
        <v>28</v>
      </c>
      <c r="B77" t="str">
        <f t="shared" si="2"/>
        <v>1132,1137,1114</v>
      </c>
      <c r="C77">
        <f>IFERROR(VLOOKUP(C14,Sheet2!$A$1:$B$114,2,FALSE),"")</f>
        <v>1132</v>
      </c>
      <c r="D77">
        <f>IFERROR(VLOOKUP(D14,Sheet2!$A$1:$B$114,2,FALSE),"")</f>
        <v>1137</v>
      </c>
      <c r="E77">
        <f>IFERROR(VLOOKUP(E14,Sheet2!$A$1:$B$114,2,FALSE),"")</f>
        <v>1114</v>
      </c>
      <c r="F77" t="str">
        <f>IFERROR(VLOOKUP(F14,Sheet2!$A$1:$B$114,2,FALSE),"")</f>
        <v/>
      </c>
      <c r="G77">
        <f>IFERROR(VLOOKUP(G14,Sheet2!$A$1:$B$114,2,FALSE),"")</f>
        <v>1117</v>
      </c>
      <c r="H77">
        <f>IFERROR(VLOOKUP(H14,Sheet2!$A$1:$B$114,2,FALSE),"")</f>
        <v>1131</v>
      </c>
      <c r="I77">
        <f>IFERROR(VLOOKUP(I14,Sheet2!$A$1:$B$114,2,FALSE),"")</f>
        <v>1137</v>
      </c>
      <c r="J77" t="str">
        <f>IFERROR(VLOOKUP(J14,Sheet2!$A$1:$B$114,2,FALSE),"")</f>
        <v/>
      </c>
      <c r="K77">
        <f>IFERROR(VLOOKUP(K14,Sheet2!$A$1:$B$114,2,FALSE),"")</f>
        <v>1119</v>
      </c>
      <c r="L77">
        <f>IFERROR(VLOOKUP(L14,Sheet2!$A$1:$B$114,2,FALSE),"")</f>
        <v>1137</v>
      </c>
      <c r="M77" t="str">
        <f>IFERROR(VLOOKUP(M14,Sheet2!$A$1:$B$114,2,FALSE),"")</f>
        <v/>
      </c>
      <c r="N77">
        <f>IFERROR(VLOOKUP(N14,Sheet2!$A$1:$B$114,2,FALSE),"")</f>
        <v>1112</v>
      </c>
      <c r="O77">
        <f>IFERROR(VLOOKUP(O14,Sheet2!$A$1:$B$114,2,FALSE),"")</f>
        <v>1137</v>
      </c>
      <c r="P77" t="str">
        <f>IFERROR(VLOOKUP(P14,Sheet2!$A$1:$B$114,2,FALSE),"")</f>
        <v/>
      </c>
      <c r="Q77">
        <f>IFERROR(VLOOKUP(Q14,Sheet2!$A$1:$B$114,2,FALSE),"")</f>
        <v>1131</v>
      </c>
      <c r="R77">
        <f>IFERROR(VLOOKUP(R14,Sheet2!$A$1:$B$114,2,FALSE),"")</f>
        <v>1137</v>
      </c>
      <c r="S77" t="str">
        <f>IFERROR(VLOOKUP(S14,Sheet2!$A$1:$B$114,2,FALSE),"")</f>
        <v/>
      </c>
      <c r="T77" t="str">
        <f>IFERROR(VLOOKUP(T14,Sheet2!$A$1:$B$114,2,FALSE),"")</f>
        <v/>
      </c>
      <c r="U77" t="str">
        <f>IFERROR(VLOOKUP(U14,Sheet2!$A$1:$B$114,2,FALSE),"")</f>
        <v/>
      </c>
      <c r="V77" t="str">
        <f>IFERROR(VLOOKUP(V14,Sheet2!$A$1:$B$114,2,FALSE),"")</f>
        <v/>
      </c>
      <c r="W77" t="str">
        <f>IFERROR(VLOOKUP(W14,Sheet2!$A$1:$B$114,2,FALSE),"")</f>
        <v/>
      </c>
      <c r="X77" t="str">
        <f>IFERROR(VLOOKUP(X14,Sheet2!$A$1:$B$114,2,FALSE),"")</f>
        <v/>
      </c>
      <c r="Y77" t="str">
        <f>IFERROR(VLOOKUP(Y14,Sheet2!$A$1:$B$114,2,FALSE),"")</f>
        <v/>
      </c>
      <c r="Z77" t="str">
        <f>IFERROR(VLOOKUP(Z14,Sheet2!$A$1:$B$114,2,FALSE),"")</f>
        <v/>
      </c>
      <c r="AA77" t="str">
        <f>IFERROR(VLOOKUP(AA14,Sheet2!$A$1:$B$114,2,FALSE),"")</f>
        <v/>
      </c>
      <c r="AB77" t="str">
        <f>IFERROR(VLOOKUP(AB14,Sheet2!$A$1:$B$114,2,FALSE),"")</f>
        <v/>
      </c>
      <c r="AC77" t="str">
        <f>IFERROR(VLOOKUP(AC14,Sheet2!$A$1:$B$114,2,FALSE),"")</f>
        <v/>
      </c>
    </row>
    <row r="78" spans="1:29">
      <c r="A78" s="53" t="s">
        <v>143</v>
      </c>
      <c r="B78" t="str">
        <f t="shared" si="2"/>
        <v>1117,1132,1208</v>
      </c>
      <c r="C78">
        <f>IFERROR(VLOOKUP(C15,Sheet2!$A$1:$B$114,2,FALSE),"")</f>
        <v>1117</v>
      </c>
      <c r="D78">
        <f>IFERROR(VLOOKUP(D15,Sheet2!$A$1:$B$114,2,FALSE),"")</f>
        <v>1132</v>
      </c>
      <c r="E78">
        <f>IFERROR(VLOOKUP(E15,Sheet2!$A$1:$B$114,2,FALSE),"")</f>
        <v>1208</v>
      </c>
      <c r="F78" t="str">
        <f>IFERROR(VLOOKUP(F15,Sheet2!$A$1:$B$114,2,FALSE),"")</f>
        <v/>
      </c>
      <c r="G78">
        <f>IFERROR(VLOOKUP(G15,Sheet2!$A$1:$B$114,2,FALSE),"")</f>
        <v>1114</v>
      </c>
      <c r="H78">
        <f>IFERROR(VLOOKUP(H15,Sheet2!$A$1:$B$114,2,FALSE),"")</f>
        <v>1131</v>
      </c>
      <c r="I78">
        <f>IFERROR(VLOOKUP(I15,Sheet2!$A$1:$B$114,2,FALSE),"")</f>
        <v>1208</v>
      </c>
      <c r="J78" t="str">
        <f>IFERROR(VLOOKUP(J15,Sheet2!$A$1:$B$114,2,FALSE),"")</f>
        <v/>
      </c>
      <c r="K78">
        <f>IFERROR(VLOOKUP(K15,Sheet2!$A$1:$B$114,2,FALSE),"")</f>
        <v>1124</v>
      </c>
      <c r="L78">
        <f>IFERROR(VLOOKUP(L15,Sheet2!$A$1:$B$114,2,FALSE),"")</f>
        <v>1208</v>
      </c>
      <c r="M78" t="str">
        <f>IFERROR(VLOOKUP(M15,Sheet2!$A$1:$B$114,2,FALSE),"")</f>
        <v/>
      </c>
      <c r="N78">
        <f>IFERROR(VLOOKUP(N15,Sheet2!$A$1:$B$114,2,FALSE),"")</f>
        <v>1111</v>
      </c>
      <c r="O78">
        <f>IFERROR(VLOOKUP(O15,Sheet2!$A$1:$B$114,2,FALSE),"")</f>
        <v>1208</v>
      </c>
      <c r="P78" t="str">
        <f>IFERROR(VLOOKUP(P15,Sheet2!$A$1:$B$114,2,FALSE),"")</f>
        <v/>
      </c>
      <c r="Q78">
        <f>IFERROR(VLOOKUP(Q15,Sheet2!$A$1:$B$114,2,FALSE),"")</f>
        <v>1112</v>
      </c>
      <c r="R78">
        <f>IFERROR(VLOOKUP(R15,Sheet2!$A$1:$B$114,2,FALSE),"")</f>
        <v>1208</v>
      </c>
      <c r="S78" t="str">
        <f>IFERROR(VLOOKUP(S15,Sheet2!$A$1:$B$114,2,FALSE),"")</f>
        <v/>
      </c>
      <c r="T78" t="str">
        <f>IFERROR(VLOOKUP(T15,Sheet2!$A$1:$B$114,2,FALSE),"")</f>
        <v/>
      </c>
      <c r="U78" t="str">
        <f>IFERROR(VLOOKUP(U15,Sheet2!$A$1:$B$114,2,FALSE),"")</f>
        <v/>
      </c>
      <c r="V78" t="str">
        <f>IFERROR(VLOOKUP(V15,Sheet2!$A$1:$B$114,2,FALSE),"")</f>
        <v/>
      </c>
      <c r="W78" t="str">
        <f>IFERROR(VLOOKUP(W15,Sheet2!$A$1:$B$114,2,FALSE),"")</f>
        <v/>
      </c>
      <c r="X78" t="str">
        <f>IFERROR(VLOOKUP(X15,Sheet2!$A$1:$B$114,2,FALSE),"")</f>
        <v/>
      </c>
      <c r="Y78" t="str">
        <f>IFERROR(VLOOKUP(Y15,Sheet2!$A$1:$B$114,2,FALSE),"")</f>
        <v/>
      </c>
      <c r="Z78" t="str">
        <f>IFERROR(VLOOKUP(Z15,Sheet2!$A$1:$B$114,2,FALSE),"")</f>
        <v/>
      </c>
      <c r="AA78" t="str">
        <f>IFERROR(VLOOKUP(AA15,Sheet2!$A$1:$B$114,2,FALSE),"")</f>
        <v/>
      </c>
      <c r="AB78" t="str">
        <f>IFERROR(VLOOKUP(AB15,Sheet2!$A$1:$B$114,2,FALSE),"")</f>
        <v/>
      </c>
      <c r="AC78" t="str">
        <f>IFERROR(VLOOKUP(AC15,Sheet2!$A$1:$B$114,2,FALSE),"")</f>
        <v/>
      </c>
    </row>
    <row r="79" spans="1:29">
      <c r="A79" s="46" t="s">
        <v>147</v>
      </c>
      <c r="B79" t="str">
        <f t="shared" si="2"/>
        <v>1138,1504,1139</v>
      </c>
      <c r="C79">
        <f>IFERROR(VLOOKUP(C16,Sheet2!$A$1:$B$114,2,FALSE),"")</f>
        <v>1138</v>
      </c>
      <c r="D79">
        <f>IFERROR(VLOOKUP(D16,Sheet2!$A$1:$B$114,2,FALSE),"")</f>
        <v>1504</v>
      </c>
      <c r="E79">
        <f>IFERROR(VLOOKUP(E16,Sheet2!$A$1:$B$114,2,FALSE),"")</f>
        <v>1139</v>
      </c>
      <c r="F79" t="str">
        <f>IFERROR(VLOOKUP(F16,Sheet2!$A$1:$B$114,2,FALSE),"")</f>
        <v/>
      </c>
      <c r="G79">
        <f>IFERROR(VLOOKUP(G16,Sheet2!$A$1:$B$114,2,FALSE),"")</f>
        <v>1139</v>
      </c>
      <c r="H79">
        <f>IFERROR(VLOOKUP(H16,Sheet2!$A$1:$B$114,2,FALSE),"")</f>
        <v>1140</v>
      </c>
      <c r="I79" t="str">
        <f>IFERROR(VLOOKUP(I16,Sheet2!$A$1:$B$114,2,FALSE),"")</f>
        <v/>
      </c>
      <c r="J79">
        <f>IFERROR(VLOOKUP(J16,Sheet2!$A$1:$B$114,2,FALSE),"")</f>
        <v>1139</v>
      </c>
      <c r="K79">
        <f>IFERROR(VLOOKUP(K16,Sheet2!$A$1:$B$114,2,FALSE),"")</f>
        <v>1138</v>
      </c>
      <c r="L79" t="str">
        <f>IFERROR(VLOOKUP(L16,Sheet2!$A$1:$B$114,2,FALSE),"")</f>
        <v/>
      </c>
      <c r="M79">
        <f>IFERROR(VLOOKUP(M16,Sheet2!$A$1:$B$114,2,FALSE),"")</f>
        <v>1139</v>
      </c>
      <c r="N79">
        <f>IFERROR(VLOOKUP(N16,Sheet2!$A$1:$B$114,2,FALSE),"")</f>
        <v>1226</v>
      </c>
      <c r="O79" t="str">
        <f>IFERROR(VLOOKUP(O16,Sheet2!$A$1:$B$114,2,FALSE),"")</f>
        <v/>
      </c>
      <c r="P79" t="str">
        <f>IFERROR(VLOOKUP(P16,Sheet2!$A$1:$B$114,2,FALSE),"")</f>
        <v/>
      </c>
      <c r="Q79" t="str">
        <f>IFERROR(VLOOKUP(Q16,Sheet2!$A$1:$B$114,2,FALSE),"")</f>
        <v/>
      </c>
      <c r="R79" t="str">
        <f>IFERROR(VLOOKUP(R16,Sheet2!$A$1:$B$114,2,FALSE),"")</f>
        <v/>
      </c>
      <c r="S79" t="str">
        <f>IFERROR(VLOOKUP(S16,Sheet2!$A$1:$B$114,2,FALSE),"")</f>
        <v/>
      </c>
      <c r="T79" t="str">
        <f>IFERROR(VLOOKUP(T16,Sheet2!$A$1:$B$114,2,FALSE),"")</f>
        <v/>
      </c>
      <c r="U79" t="str">
        <f>IFERROR(VLOOKUP(U16,Sheet2!$A$1:$B$114,2,FALSE),"")</f>
        <v/>
      </c>
      <c r="V79" t="str">
        <f>IFERROR(VLOOKUP(V16,Sheet2!$A$1:$B$114,2,FALSE),"")</f>
        <v/>
      </c>
      <c r="W79" t="str">
        <f>IFERROR(VLOOKUP(W16,Sheet2!$A$1:$B$114,2,FALSE),"")</f>
        <v/>
      </c>
      <c r="X79" t="str">
        <f>IFERROR(VLOOKUP(X16,Sheet2!$A$1:$B$114,2,FALSE),"")</f>
        <v/>
      </c>
      <c r="Y79" t="str">
        <f>IFERROR(VLOOKUP(Y16,Sheet2!$A$1:$B$114,2,FALSE),"")</f>
        <v/>
      </c>
      <c r="Z79" t="str">
        <f>IFERROR(VLOOKUP(Z16,Sheet2!$A$1:$B$114,2,FALSE),"")</f>
        <v/>
      </c>
      <c r="AA79" t="str">
        <f>IFERROR(VLOOKUP(AA16,Sheet2!$A$1:$B$114,2,FALSE),"")</f>
        <v/>
      </c>
      <c r="AB79" t="str">
        <f>IFERROR(VLOOKUP(AB16,Sheet2!$A$1:$B$114,2,FALSE),"")</f>
        <v/>
      </c>
      <c r="AC79" t="str">
        <f>IFERROR(VLOOKUP(AC16,Sheet2!$A$1:$B$114,2,FALSE),"")</f>
        <v/>
      </c>
    </row>
    <row r="80" spans="1:29">
      <c r="A80" s="46" t="s">
        <v>148</v>
      </c>
      <c r="B80" t="str">
        <f t="shared" si="2"/>
        <v>1141,1140,1504</v>
      </c>
      <c r="C80">
        <f>IFERROR(VLOOKUP(C17,Sheet2!$A$1:$B$114,2,FALSE),"")</f>
        <v>1141</v>
      </c>
      <c r="D80">
        <f>IFERROR(VLOOKUP(D17,Sheet2!$A$1:$B$114,2,FALSE),"")</f>
        <v>1140</v>
      </c>
      <c r="E80">
        <f>IFERROR(VLOOKUP(E17,Sheet2!$A$1:$B$114,2,FALSE),"")</f>
        <v>1504</v>
      </c>
      <c r="F80" t="str">
        <f>IFERROR(VLOOKUP(F17,Sheet2!$A$1:$B$114,2,FALSE),"")</f>
        <v/>
      </c>
      <c r="G80">
        <f>IFERROR(VLOOKUP(G17,Sheet2!$A$1:$B$114,2,FALSE),"")</f>
        <v>1139</v>
      </c>
      <c r="H80">
        <f>IFERROR(VLOOKUP(H17,Sheet2!$A$1:$B$114,2,FALSE),"")</f>
        <v>1140</v>
      </c>
      <c r="I80" t="str">
        <f>IFERROR(VLOOKUP(I17,Sheet2!$A$1:$B$114,2,FALSE),"")</f>
        <v/>
      </c>
      <c r="J80">
        <f>IFERROR(VLOOKUP(J17,Sheet2!$A$1:$B$114,2,FALSE),"")</f>
        <v>1140</v>
      </c>
      <c r="K80">
        <f>IFERROR(VLOOKUP(K17,Sheet2!$A$1:$B$114,2,FALSE),"")</f>
        <v>1226</v>
      </c>
      <c r="L80" t="str">
        <f>IFERROR(VLOOKUP(L17,Sheet2!$A$1:$B$114,2,FALSE),"")</f>
        <v/>
      </c>
      <c r="M80">
        <f>IFERROR(VLOOKUP(M17,Sheet2!$A$1:$B$114,2,FALSE),"")</f>
        <v>1140</v>
      </c>
      <c r="N80">
        <f>IFERROR(VLOOKUP(N17,Sheet2!$A$1:$B$114,2,FALSE),"")</f>
        <v>1141</v>
      </c>
      <c r="O80" t="str">
        <f>IFERROR(VLOOKUP(O17,Sheet2!$A$1:$B$114,2,FALSE),"")</f>
        <v/>
      </c>
      <c r="P80" t="str">
        <f>IFERROR(VLOOKUP(P17,Sheet2!$A$1:$B$114,2,FALSE),"")</f>
        <v/>
      </c>
      <c r="Q80" t="str">
        <f>IFERROR(VLOOKUP(Q17,Sheet2!$A$1:$B$114,2,FALSE),"")</f>
        <v/>
      </c>
      <c r="R80" t="str">
        <f>IFERROR(VLOOKUP(R17,Sheet2!$A$1:$B$114,2,FALSE),"")</f>
        <v/>
      </c>
      <c r="S80" t="str">
        <f>IFERROR(VLOOKUP(S17,Sheet2!$A$1:$B$114,2,FALSE),"")</f>
        <v/>
      </c>
      <c r="T80" t="str">
        <f>IFERROR(VLOOKUP(T17,Sheet2!$A$1:$B$114,2,FALSE),"")</f>
        <v/>
      </c>
      <c r="U80" t="str">
        <f>IFERROR(VLOOKUP(U17,Sheet2!$A$1:$B$114,2,FALSE),"")</f>
        <v/>
      </c>
      <c r="V80" t="str">
        <f>IFERROR(VLOOKUP(V17,Sheet2!$A$1:$B$114,2,FALSE),"")</f>
        <v/>
      </c>
      <c r="W80" t="str">
        <f>IFERROR(VLOOKUP(W17,Sheet2!$A$1:$B$114,2,FALSE),"")</f>
        <v/>
      </c>
      <c r="X80" t="str">
        <f>IFERROR(VLOOKUP(X17,Sheet2!$A$1:$B$114,2,FALSE),"")</f>
        <v/>
      </c>
      <c r="Y80" t="str">
        <f>IFERROR(VLOOKUP(Y17,Sheet2!$A$1:$B$114,2,FALSE),"")</f>
        <v/>
      </c>
      <c r="Z80" t="str">
        <f>IFERROR(VLOOKUP(Z17,Sheet2!$A$1:$B$114,2,FALSE),"")</f>
        <v/>
      </c>
      <c r="AA80" t="str">
        <f>IFERROR(VLOOKUP(AA17,Sheet2!$A$1:$B$114,2,FALSE),"")</f>
        <v/>
      </c>
      <c r="AB80" t="str">
        <f>IFERROR(VLOOKUP(AB17,Sheet2!$A$1:$B$114,2,FALSE),"")</f>
        <v/>
      </c>
      <c r="AC80" t="str">
        <f>IFERROR(VLOOKUP(AC17,Sheet2!$A$1:$B$114,2,FALSE),"")</f>
        <v/>
      </c>
    </row>
    <row r="81" spans="1:29">
      <c r="A81" s="46" t="s">
        <v>149</v>
      </c>
      <c r="B81" t="str">
        <f t="shared" si="2"/>
        <v>1138,1504,1139</v>
      </c>
      <c r="C81">
        <f>IFERROR(VLOOKUP(C18,Sheet2!$A$1:$B$114,2,FALSE),"")</f>
        <v>1138</v>
      </c>
      <c r="D81">
        <f>IFERROR(VLOOKUP(D18,Sheet2!$A$1:$B$114,2,FALSE),"")</f>
        <v>1504</v>
      </c>
      <c r="E81">
        <f>IFERROR(VLOOKUP(E18,Sheet2!$A$1:$B$114,2,FALSE),"")</f>
        <v>1139</v>
      </c>
      <c r="F81" t="str">
        <f>IFERROR(VLOOKUP(F18,Sheet2!$A$1:$B$114,2,FALSE),"")</f>
        <v/>
      </c>
      <c r="G81">
        <f>IFERROR(VLOOKUP(G18,Sheet2!$A$1:$B$114,2,FALSE),"")</f>
        <v>1138</v>
      </c>
      <c r="H81">
        <f>IFERROR(VLOOKUP(H18,Sheet2!$A$1:$B$114,2,FALSE),"")</f>
        <v>1226</v>
      </c>
      <c r="I81" t="str">
        <f>IFERROR(VLOOKUP(I18,Sheet2!$A$1:$B$114,2,FALSE),"")</f>
        <v/>
      </c>
      <c r="J81">
        <f>IFERROR(VLOOKUP(J18,Sheet2!$A$1:$B$114,2,FALSE),"")</f>
        <v>1138</v>
      </c>
      <c r="K81">
        <f>IFERROR(VLOOKUP(K18,Sheet2!$A$1:$B$114,2,FALSE),"")</f>
        <v>1141</v>
      </c>
      <c r="L81" t="str">
        <f>IFERROR(VLOOKUP(L18,Sheet2!$A$1:$B$114,2,FALSE),"")</f>
        <v/>
      </c>
      <c r="M81">
        <f>IFERROR(VLOOKUP(M18,Sheet2!$A$1:$B$114,2,FALSE),"")</f>
        <v>1139</v>
      </c>
      <c r="N81">
        <f>IFERROR(VLOOKUP(N18,Sheet2!$A$1:$B$114,2,FALSE),"")</f>
        <v>1138</v>
      </c>
      <c r="O81" t="str">
        <f>IFERROR(VLOOKUP(O18,Sheet2!$A$1:$B$114,2,FALSE),"")</f>
        <v/>
      </c>
      <c r="P81" t="str">
        <f>IFERROR(VLOOKUP(P18,Sheet2!$A$1:$B$114,2,FALSE),"")</f>
        <v/>
      </c>
      <c r="Q81" t="str">
        <f>IFERROR(VLOOKUP(Q18,Sheet2!$A$1:$B$114,2,FALSE),"")</f>
        <v/>
      </c>
      <c r="R81" t="str">
        <f>IFERROR(VLOOKUP(R18,Sheet2!$A$1:$B$114,2,FALSE),"")</f>
        <v/>
      </c>
      <c r="S81" t="str">
        <f>IFERROR(VLOOKUP(S18,Sheet2!$A$1:$B$114,2,FALSE),"")</f>
        <v/>
      </c>
      <c r="T81" t="str">
        <f>IFERROR(VLOOKUP(T18,Sheet2!$A$1:$B$114,2,FALSE),"")</f>
        <v/>
      </c>
      <c r="U81" t="str">
        <f>IFERROR(VLOOKUP(U18,Sheet2!$A$1:$B$114,2,FALSE),"")</f>
        <v/>
      </c>
      <c r="V81" t="str">
        <f>IFERROR(VLOOKUP(V18,Sheet2!$A$1:$B$114,2,FALSE),"")</f>
        <v/>
      </c>
      <c r="W81" t="str">
        <f>IFERROR(VLOOKUP(W18,Sheet2!$A$1:$B$114,2,FALSE),"")</f>
        <v/>
      </c>
      <c r="X81" t="str">
        <f>IFERROR(VLOOKUP(X18,Sheet2!$A$1:$B$114,2,FALSE),"")</f>
        <v/>
      </c>
      <c r="Y81" t="str">
        <f>IFERROR(VLOOKUP(Y18,Sheet2!$A$1:$B$114,2,FALSE),"")</f>
        <v/>
      </c>
      <c r="Z81" t="str">
        <f>IFERROR(VLOOKUP(Z18,Sheet2!$A$1:$B$114,2,FALSE),"")</f>
        <v/>
      </c>
      <c r="AA81" t="str">
        <f>IFERROR(VLOOKUP(AA18,Sheet2!$A$1:$B$114,2,FALSE),"")</f>
        <v/>
      </c>
      <c r="AB81" t="str">
        <f>IFERROR(VLOOKUP(AB18,Sheet2!$A$1:$B$114,2,FALSE),"")</f>
        <v/>
      </c>
      <c r="AC81" t="str">
        <f>IFERROR(VLOOKUP(AC18,Sheet2!$A$1:$B$114,2,FALSE),"")</f>
        <v/>
      </c>
    </row>
    <row r="82" spans="1:29">
      <c r="A82" s="46" t="s">
        <v>82</v>
      </c>
      <c r="C82">
        <f>IFERROR(VLOOKUP(C19,Sheet2!$A$1:$B$114,2,FALSE),"")</f>
        <v>1138</v>
      </c>
      <c r="D82">
        <f>IFERROR(VLOOKUP(D19,Sheet2!$A$1:$B$114,2,FALSE),"")</f>
        <v>1226</v>
      </c>
      <c r="E82" t="str">
        <f>IFERROR(VLOOKUP(E19,Sheet2!$A$1:$B$114,2,FALSE),"")</f>
        <v/>
      </c>
      <c r="F82">
        <f>IFERROR(VLOOKUP(F19,Sheet2!$A$1:$B$114,2,FALSE),"")</f>
        <v>1140</v>
      </c>
      <c r="G82">
        <f>IFERROR(VLOOKUP(G19,Sheet2!$A$1:$B$114,2,FALSE),"")</f>
        <v>1226</v>
      </c>
      <c r="H82" t="str">
        <f>IFERROR(VLOOKUP(H19,Sheet2!$A$1:$B$114,2,FALSE),"")</f>
        <v/>
      </c>
      <c r="I82">
        <f>IFERROR(VLOOKUP(I19,Sheet2!$A$1:$B$114,2,FALSE),"")</f>
        <v>1226</v>
      </c>
      <c r="J82">
        <f>IFERROR(VLOOKUP(J19,Sheet2!$A$1:$B$114,2,FALSE),"")</f>
        <v>1504</v>
      </c>
      <c r="K82" t="str">
        <f>IFERROR(VLOOKUP(K19,Sheet2!$A$1:$B$114,2,FALSE),"")</f>
        <v/>
      </c>
      <c r="L82">
        <f>IFERROR(VLOOKUP(L19,Sheet2!$A$1:$B$114,2,FALSE),"")</f>
        <v>1139</v>
      </c>
      <c r="M82">
        <f>IFERROR(VLOOKUP(M19,Sheet2!$A$1:$B$114,2,FALSE),"")</f>
        <v>1226</v>
      </c>
      <c r="N82" t="str">
        <f>IFERROR(VLOOKUP(N19,Sheet2!$A$1:$B$114,2,FALSE),"")</f>
        <v/>
      </c>
      <c r="O82" t="str">
        <f>IFERROR(VLOOKUP(O19,Sheet2!$A$1:$B$114,2,FALSE),"")</f>
        <v/>
      </c>
      <c r="P82" t="str">
        <f>IFERROR(VLOOKUP(P19,Sheet2!$A$1:$B$114,2,FALSE),"")</f>
        <v/>
      </c>
      <c r="Q82" t="str">
        <f>IFERROR(VLOOKUP(Q19,Sheet2!$A$1:$B$114,2,FALSE),"")</f>
        <v/>
      </c>
      <c r="R82" t="str">
        <f>IFERROR(VLOOKUP(R19,Sheet2!$A$1:$B$114,2,FALSE),"")</f>
        <v/>
      </c>
      <c r="S82" t="str">
        <f>IFERROR(VLOOKUP(S19,Sheet2!$A$1:$B$114,2,FALSE),"")</f>
        <v/>
      </c>
      <c r="T82" t="str">
        <f>IFERROR(VLOOKUP(T19,Sheet2!$A$1:$B$114,2,FALSE),"")</f>
        <v/>
      </c>
      <c r="U82" t="str">
        <f>IFERROR(VLOOKUP(U19,Sheet2!$A$1:$B$114,2,FALSE),"")</f>
        <v/>
      </c>
      <c r="V82" t="str">
        <f>IFERROR(VLOOKUP(V19,Sheet2!$A$1:$B$114,2,FALSE),"")</f>
        <v/>
      </c>
      <c r="W82" t="str">
        <f>IFERROR(VLOOKUP(W19,Sheet2!$A$1:$B$114,2,FALSE),"")</f>
        <v/>
      </c>
      <c r="X82" t="str">
        <f>IFERROR(VLOOKUP(X19,Sheet2!$A$1:$B$114,2,FALSE),"")</f>
        <v/>
      </c>
      <c r="Y82" t="str">
        <f>IFERROR(VLOOKUP(Y19,Sheet2!$A$1:$B$114,2,FALSE),"")</f>
        <v/>
      </c>
      <c r="Z82" t="str">
        <f>IFERROR(VLOOKUP(Z19,Sheet2!$A$1:$B$114,2,FALSE),"")</f>
        <v/>
      </c>
      <c r="AA82" t="str">
        <f>IFERROR(VLOOKUP(AA19,Sheet2!$A$1:$B$114,2,FALSE),"")</f>
        <v/>
      </c>
      <c r="AB82" t="str">
        <f>IFERROR(VLOOKUP(AB19,Sheet2!$A$1:$B$114,2,FALSE),"")</f>
        <v/>
      </c>
      <c r="AC82" t="str">
        <f>IFERROR(VLOOKUP(AC19,Sheet2!$A$1:$B$114,2,FALSE),"")</f>
        <v/>
      </c>
    </row>
    <row r="83" spans="1:29">
      <c r="A83" s="47" t="s">
        <v>158</v>
      </c>
      <c r="C83">
        <f>IFERROR(VLOOKUP(C20,Sheet2!$A$1:$B$114,2,FALSE),"")</f>
        <v>1141</v>
      </c>
      <c r="D83">
        <f>IFERROR(VLOOKUP(D20,Sheet2!$A$1:$B$114,2,FALSE),"")</f>
        <v>1140</v>
      </c>
      <c r="E83">
        <f>IFERROR(VLOOKUP(E20,Sheet2!$A$1:$B$114,2,FALSE),"")</f>
        <v>1504</v>
      </c>
      <c r="F83" t="str">
        <f>IFERROR(VLOOKUP(F20,Sheet2!$A$1:$B$114,2,FALSE),"")</f>
        <v/>
      </c>
      <c r="G83">
        <f>IFERROR(VLOOKUP(G20,Sheet2!$A$1:$B$114,2,FALSE),"")</f>
        <v>1141</v>
      </c>
      <c r="H83">
        <f>IFERROR(VLOOKUP(H20,Sheet2!$A$1:$B$114,2,FALSE),"")</f>
        <v>1504</v>
      </c>
      <c r="I83" t="str">
        <f>IFERROR(VLOOKUP(I20,Sheet2!$A$1:$B$114,2,FALSE),"")</f>
        <v/>
      </c>
      <c r="J83">
        <f>IFERROR(VLOOKUP(J20,Sheet2!$A$1:$B$114,2,FALSE),"")</f>
        <v>1138</v>
      </c>
      <c r="K83">
        <f>IFERROR(VLOOKUP(K20,Sheet2!$A$1:$B$114,2,FALSE),"")</f>
        <v>1141</v>
      </c>
      <c r="L83" t="str">
        <f>IFERROR(VLOOKUP(L20,Sheet2!$A$1:$B$114,2,FALSE),"")</f>
        <v/>
      </c>
      <c r="M83">
        <f>IFERROR(VLOOKUP(M20,Sheet2!$A$1:$B$114,2,FALSE),"")</f>
        <v>1140</v>
      </c>
      <c r="N83">
        <f>IFERROR(VLOOKUP(N20,Sheet2!$A$1:$B$114,2,FALSE),"")</f>
        <v>1141</v>
      </c>
      <c r="O83" t="str">
        <f>IFERROR(VLOOKUP(O20,Sheet2!$A$1:$B$114,2,FALSE),"")</f>
        <v/>
      </c>
      <c r="P83" t="str">
        <f>IFERROR(VLOOKUP(P20,Sheet2!$A$1:$B$114,2,FALSE),"")</f>
        <v/>
      </c>
      <c r="Q83" t="str">
        <f>IFERROR(VLOOKUP(Q20,Sheet2!$A$1:$B$114,2,FALSE),"")</f>
        <v/>
      </c>
      <c r="R83" t="str">
        <f>IFERROR(VLOOKUP(R20,Sheet2!$A$1:$B$114,2,FALSE),"")</f>
        <v/>
      </c>
      <c r="S83" t="str">
        <f>IFERROR(VLOOKUP(S20,Sheet2!$A$1:$B$114,2,FALSE),"")</f>
        <v/>
      </c>
      <c r="T83" t="str">
        <f>IFERROR(VLOOKUP(T20,Sheet2!$A$1:$B$114,2,FALSE),"")</f>
        <v/>
      </c>
      <c r="U83" t="str">
        <f>IFERROR(VLOOKUP(U20,Sheet2!$A$1:$B$114,2,FALSE),"")</f>
        <v/>
      </c>
      <c r="V83" t="str">
        <f>IFERROR(VLOOKUP(V20,Sheet2!$A$1:$B$114,2,FALSE),"")</f>
        <v/>
      </c>
      <c r="W83" t="str">
        <f>IFERROR(VLOOKUP(W20,Sheet2!$A$1:$B$114,2,FALSE),"")</f>
        <v/>
      </c>
      <c r="X83" t="str">
        <f>IFERROR(VLOOKUP(X20,Sheet2!$A$1:$B$114,2,FALSE),"")</f>
        <v/>
      </c>
      <c r="Y83" t="str">
        <f>IFERROR(VLOOKUP(Y20,Sheet2!$A$1:$B$114,2,FALSE),"")</f>
        <v/>
      </c>
      <c r="Z83" t="str">
        <f>IFERROR(VLOOKUP(Z20,Sheet2!$A$1:$B$114,2,FALSE),"")</f>
        <v/>
      </c>
      <c r="AA83" t="str">
        <f>IFERROR(VLOOKUP(AA20,Sheet2!$A$1:$B$114,2,FALSE),"")</f>
        <v/>
      </c>
      <c r="AB83" t="str">
        <f>IFERROR(VLOOKUP(AB20,Sheet2!$A$1:$B$114,2,FALSE),"")</f>
        <v/>
      </c>
      <c r="AC83" t="str">
        <f>IFERROR(VLOOKUP(AC20,Sheet2!$A$1:$B$114,2,FALSE),"")</f>
        <v/>
      </c>
    </row>
    <row r="84" spans="1:29">
      <c r="A84" s="47" t="s">
        <v>161</v>
      </c>
      <c r="C84">
        <f>IFERROR(VLOOKUP(C21,Sheet2!$A$1:$B$114,2,FALSE),"")</f>
        <v>1138</v>
      </c>
      <c r="D84">
        <f>IFERROR(VLOOKUP(D21,Sheet2!$A$1:$B$114,2,FALSE),"")</f>
        <v>1504</v>
      </c>
      <c r="E84">
        <f>IFERROR(VLOOKUP(E21,Sheet2!$A$1:$B$114,2,FALSE),"")</f>
        <v>1139</v>
      </c>
      <c r="F84" t="str">
        <f>IFERROR(VLOOKUP(F21,Sheet2!$A$1:$B$114,2,FALSE),"")</f>
        <v/>
      </c>
      <c r="G84">
        <f>IFERROR(VLOOKUP(G21,Sheet2!$A$1:$B$114,2,FALSE),"")</f>
        <v>1141</v>
      </c>
      <c r="H84">
        <f>IFERROR(VLOOKUP(H21,Sheet2!$A$1:$B$114,2,FALSE),"")</f>
        <v>1140</v>
      </c>
      <c r="I84">
        <f>IFERROR(VLOOKUP(I21,Sheet2!$A$1:$B$114,2,FALSE),"")</f>
        <v>1504</v>
      </c>
      <c r="J84" t="str">
        <f>IFERROR(VLOOKUP(J21,Sheet2!$A$1:$B$114,2,FALSE),"")</f>
        <v/>
      </c>
      <c r="K84">
        <f>IFERROR(VLOOKUP(K21,Sheet2!$A$1:$B$114,2,FALSE),"")</f>
        <v>1141</v>
      </c>
      <c r="L84">
        <f>IFERROR(VLOOKUP(L21,Sheet2!$A$1:$B$114,2,FALSE),"")</f>
        <v>1504</v>
      </c>
      <c r="M84" t="str">
        <f>IFERROR(VLOOKUP(M21,Sheet2!$A$1:$B$114,2,FALSE),"")</f>
        <v/>
      </c>
      <c r="N84">
        <f>IFERROR(VLOOKUP(N21,Sheet2!$A$1:$B$114,2,FALSE),"")</f>
        <v>1226</v>
      </c>
      <c r="O84">
        <f>IFERROR(VLOOKUP(O21,Sheet2!$A$1:$B$114,2,FALSE),"")</f>
        <v>1504</v>
      </c>
      <c r="P84" t="str">
        <f>IFERROR(VLOOKUP(P21,Sheet2!$A$1:$B$114,2,FALSE),"")</f>
        <v/>
      </c>
      <c r="Q84" t="str">
        <f>IFERROR(VLOOKUP(Q21,Sheet2!$A$1:$B$114,2,FALSE),"")</f>
        <v/>
      </c>
      <c r="R84" t="str">
        <f>IFERROR(VLOOKUP(R21,Sheet2!$A$1:$B$114,2,FALSE),"")</f>
        <v/>
      </c>
      <c r="S84" t="str">
        <f>IFERROR(VLOOKUP(S21,Sheet2!$A$1:$B$114,2,FALSE),"")</f>
        <v/>
      </c>
      <c r="T84" t="str">
        <f>IFERROR(VLOOKUP(T21,Sheet2!$A$1:$B$114,2,FALSE),"")</f>
        <v/>
      </c>
      <c r="U84" t="str">
        <f>IFERROR(VLOOKUP(U21,Sheet2!$A$1:$B$114,2,FALSE),"")</f>
        <v/>
      </c>
      <c r="V84" t="str">
        <f>IFERROR(VLOOKUP(V21,Sheet2!$A$1:$B$114,2,FALSE),"")</f>
        <v/>
      </c>
      <c r="W84" t="str">
        <f>IFERROR(VLOOKUP(W21,Sheet2!$A$1:$B$114,2,FALSE),"")</f>
        <v/>
      </c>
      <c r="X84" t="str">
        <f>IFERROR(VLOOKUP(X21,Sheet2!$A$1:$B$114,2,FALSE),"")</f>
        <v/>
      </c>
      <c r="Y84" t="str">
        <f>IFERROR(VLOOKUP(Y21,Sheet2!$A$1:$B$114,2,FALSE),"")</f>
        <v/>
      </c>
      <c r="Z84" t="str">
        <f>IFERROR(VLOOKUP(Z21,Sheet2!$A$1:$B$114,2,FALSE),"")</f>
        <v/>
      </c>
      <c r="AA84" t="str">
        <f>IFERROR(VLOOKUP(AA21,Sheet2!$A$1:$B$114,2,FALSE),"")</f>
        <v/>
      </c>
      <c r="AB84" t="str">
        <f>IFERROR(VLOOKUP(AB21,Sheet2!$A$1:$B$114,2,FALSE),"")</f>
        <v/>
      </c>
      <c r="AC84" t="str">
        <f>IFERROR(VLOOKUP(AC21,Sheet2!$A$1:$B$114,2,FALSE),"")</f>
        <v/>
      </c>
    </row>
    <row r="85" spans="1:29">
      <c r="A85" s="8" t="s">
        <v>92</v>
      </c>
      <c r="C85">
        <f>IFERROR(VLOOKUP(C22,Sheet2!$A$1:$B$114,2,FALSE),"")</f>
        <v>1101</v>
      </c>
      <c r="D85">
        <f>IFERROR(VLOOKUP(D22,Sheet2!$A$1:$B$114,2,FALSE),"")</f>
        <v>1105</v>
      </c>
      <c r="E85">
        <f>IFERROR(VLOOKUP(E22,Sheet2!$A$1:$B$114,2,FALSE),"")</f>
        <v>1219</v>
      </c>
      <c r="F85">
        <f>IFERROR(VLOOKUP(F22,Sheet2!$A$1:$B$114,2,FALSE),"")</f>
        <v>1109</v>
      </c>
      <c r="G85" t="str">
        <f>IFERROR(VLOOKUP(G22,Sheet2!$A$1:$B$114,2,FALSE),"")</f>
        <v/>
      </c>
      <c r="H85">
        <f>IFERROR(VLOOKUP(H22,Sheet2!$A$1:$B$114,2,FALSE),"")</f>
        <v>1101</v>
      </c>
      <c r="I85">
        <f>IFERROR(VLOOKUP(I22,Sheet2!$A$1:$B$114,2,FALSE),"")</f>
        <v>1105</v>
      </c>
      <c r="J85">
        <f>IFERROR(VLOOKUP(J22,Sheet2!$A$1:$B$114,2,FALSE),"")</f>
        <v>1108</v>
      </c>
      <c r="K85" t="str">
        <f>IFERROR(VLOOKUP(K22,Sheet2!$A$1:$B$114,2,FALSE),"")</f>
        <v/>
      </c>
      <c r="L85">
        <f>IFERROR(VLOOKUP(L22,Sheet2!$A$1:$B$114,2,FALSE),"")</f>
        <v>1101</v>
      </c>
      <c r="M85">
        <f>IFERROR(VLOOKUP(M22,Sheet2!$A$1:$B$114,2,FALSE),"")</f>
        <v>1109</v>
      </c>
      <c r="N85" t="str">
        <f>IFERROR(VLOOKUP(N22,Sheet2!$A$1:$B$114,2,FALSE),"")</f>
        <v/>
      </c>
      <c r="O85">
        <f>IFERROR(VLOOKUP(O22,Sheet2!$A$1:$B$114,2,FALSE),"")</f>
        <v>1101</v>
      </c>
      <c r="P85">
        <f>IFERROR(VLOOKUP(P22,Sheet2!$A$1:$B$114,2,FALSE),"")</f>
        <v>1104</v>
      </c>
      <c r="Q85" t="str">
        <f>IFERROR(VLOOKUP(Q22,Sheet2!$A$1:$B$114,2,FALSE),"")</f>
        <v/>
      </c>
      <c r="R85">
        <f>IFERROR(VLOOKUP(R22,Sheet2!$A$1:$B$114,2,FALSE),"")</f>
        <v>1101</v>
      </c>
      <c r="S85">
        <f>IFERROR(VLOOKUP(S22,Sheet2!$A$1:$B$114,2,FALSE),"")</f>
        <v>1123</v>
      </c>
      <c r="T85" t="str">
        <f>IFERROR(VLOOKUP(T22,Sheet2!$A$1:$B$114,2,FALSE),"")</f>
        <v/>
      </c>
      <c r="U85">
        <f>IFERROR(VLOOKUP(U22,Sheet2!$A$1:$B$114,2,FALSE),"")</f>
        <v>1101</v>
      </c>
      <c r="V85">
        <f>IFERROR(VLOOKUP(V22,Sheet2!$A$1:$B$114,2,FALSE),"")</f>
        <v>1107</v>
      </c>
      <c r="W85" t="str">
        <f>IFERROR(VLOOKUP(W22,Sheet2!$A$1:$B$114,2,FALSE),"")</f>
        <v/>
      </c>
      <c r="X85" t="str">
        <f>IFERROR(VLOOKUP(X22,Sheet2!$A$1:$B$114,2,FALSE),"")</f>
        <v/>
      </c>
      <c r="Y85" t="str">
        <f>IFERROR(VLOOKUP(Y22,Sheet2!$A$1:$B$114,2,FALSE),"")</f>
        <v/>
      </c>
      <c r="Z85" t="str">
        <f>IFERROR(VLOOKUP(Z22,Sheet2!$A$1:$B$114,2,FALSE),"")</f>
        <v/>
      </c>
      <c r="AA85" t="str">
        <f>IFERROR(VLOOKUP(AA22,Sheet2!$A$1:$B$114,2,FALSE),"")</f>
        <v/>
      </c>
      <c r="AB85" t="str">
        <f>IFERROR(VLOOKUP(AB22,Sheet2!$A$1:$B$114,2,FALSE),"")</f>
        <v/>
      </c>
      <c r="AC85" t="str">
        <f>IFERROR(VLOOKUP(AC22,Sheet2!$A$1:$B$114,2,FALSE),"")</f>
        <v/>
      </c>
    </row>
    <row r="86" spans="1:29">
      <c r="A86" s="8" t="s">
        <v>97</v>
      </c>
      <c r="C86">
        <f>IFERROR(VLOOKUP(C23,Sheet2!$A$1:$B$114,2,FALSE),"")</f>
        <v>1101</v>
      </c>
      <c r="D86">
        <f>IFERROR(VLOOKUP(D23,Sheet2!$A$1:$B$114,2,FALSE),"")</f>
        <v>1105</v>
      </c>
      <c r="E86">
        <f>IFERROR(VLOOKUP(E23,Sheet2!$A$1:$B$114,2,FALSE),"")</f>
        <v>1219</v>
      </c>
      <c r="F86">
        <f>IFERROR(VLOOKUP(F23,Sheet2!$A$1:$B$114,2,FALSE),"")</f>
        <v>1109</v>
      </c>
      <c r="G86" t="str">
        <f>IFERROR(VLOOKUP(G23,Sheet2!$A$1:$B$114,2,FALSE),"")</f>
        <v/>
      </c>
      <c r="H86">
        <f>IFERROR(VLOOKUP(H23,Sheet2!$A$1:$B$114,2,FALSE),"")</f>
        <v>1101</v>
      </c>
      <c r="I86">
        <f>IFERROR(VLOOKUP(I23,Sheet2!$A$1:$B$114,2,FALSE),"")</f>
        <v>1105</v>
      </c>
      <c r="J86">
        <f>IFERROR(VLOOKUP(J23,Sheet2!$A$1:$B$114,2,FALSE),"")</f>
        <v>1108</v>
      </c>
      <c r="K86" t="str">
        <f>IFERROR(VLOOKUP(K23,Sheet2!$A$1:$B$114,2,FALSE),"")</f>
        <v/>
      </c>
      <c r="L86">
        <f>IFERROR(VLOOKUP(L23,Sheet2!$A$1:$B$114,2,FALSE),"")</f>
        <v>1105</v>
      </c>
      <c r="M86">
        <f>IFERROR(VLOOKUP(M23,Sheet2!$A$1:$B$114,2,FALSE),"")</f>
        <v>1109</v>
      </c>
      <c r="N86" t="str">
        <f>IFERROR(VLOOKUP(N23,Sheet2!$A$1:$B$114,2,FALSE),"")</f>
        <v/>
      </c>
      <c r="O86">
        <f>IFERROR(VLOOKUP(O23,Sheet2!$A$1:$B$114,2,FALSE),"")</f>
        <v>1105</v>
      </c>
      <c r="P86">
        <f>IFERROR(VLOOKUP(P23,Sheet2!$A$1:$B$114,2,FALSE),"")</f>
        <v>1201</v>
      </c>
      <c r="Q86" t="str">
        <f>IFERROR(VLOOKUP(Q23,Sheet2!$A$1:$B$114,2,FALSE),"")</f>
        <v/>
      </c>
      <c r="R86">
        <f>IFERROR(VLOOKUP(R23,Sheet2!$A$1:$B$114,2,FALSE),"")</f>
        <v>1105</v>
      </c>
      <c r="S86">
        <f>IFERROR(VLOOKUP(S23,Sheet2!$A$1:$B$114,2,FALSE),"")</f>
        <v>1106</v>
      </c>
      <c r="T86" t="str">
        <f>IFERROR(VLOOKUP(T23,Sheet2!$A$1:$B$114,2,FALSE),"")</f>
        <v/>
      </c>
      <c r="U86">
        <f>IFERROR(VLOOKUP(U23,Sheet2!$A$1:$B$114,2,FALSE),"")</f>
        <v>1105</v>
      </c>
      <c r="V86">
        <f>IFERROR(VLOOKUP(V23,Sheet2!$A$1:$B$114,2,FALSE),"")</f>
        <v>1135</v>
      </c>
      <c r="W86" t="str">
        <f>IFERROR(VLOOKUP(W23,Sheet2!$A$1:$B$114,2,FALSE),"")</f>
        <v/>
      </c>
      <c r="X86" t="str">
        <f>IFERROR(VLOOKUP(X23,Sheet2!$A$1:$B$114,2,FALSE),"")</f>
        <v/>
      </c>
      <c r="Y86" t="str">
        <f>IFERROR(VLOOKUP(Y23,Sheet2!$A$1:$B$114,2,FALSE),"")</f>
        <v/>
      </c>
      <c r="Z86" t="str">
        <f>IFERROR(VLOOKUP(Z23,Sheet2!$A$1:$B$114,2,FALSE),"")</f>
        <v/>
      </c>
      <c r="AA86" t="str">
        <f>IFERROR(VLOOKUP(AA23,Sheet2!$A$1:$B$114,2,FALSE),"")</f>
        <v/>
      </c>
      <c r="AB86" t="str">
        <f>IFERROR(VLOOKUP(AB23,Sheet2!$A$1:$B$114,2,FALSE),"")</f>
        <v/>
      </c>
      <c r="AC86" t="str">
        <f>IFERROR(VLOOKUP(AC23,Sheet2!$A$1:$B$114,2,FALSE),"")</f>
        <v/>
      </c>
    </row>
    <row r="87" spans="1:29">
      <c r="A87" s="8" t="s">
        <v>31</v>
      </c>
      <c r="C87">
        <f>IFERROR(VLOOKUP(C24,Sheet2!$A$1:$B$114,2,FALSE),"")</f>
        <v>1102</v>
      </c>
      <c r="D87">
        <f>IFERROR(VLOOKUP(D24,Sheet2!$A$1:$B$114,2,FALSE),"")</f>
        <v>1218</v>
      </c>
      <c r="E87">
        <f>IFERROR(VLOOKUP(E24,Sheet2!$A$1:$B$114,2,FALSE),"")</f>
        <v>1108</v>
      </c>
      <c r="F87">
        <f>IFERROR(VLOOKUP(F24,Sheet2!$A$1:$B$114,2,FALSE),"")</f>
        <v>1103</v>
      </c>
      <c r="G87" t="str">
        <f>IFERROR(VLOOKUP(G24,Sheet2!$A$1:$B$114,2,FALSE),"")</f>
        <v/>
      </c>
      <c r="H87">
        <f>IFERROR(VLOOKUP(H24,Sheet2!$A$1:$B$114,2,FALSE),"")</f>
        <v>1102</v>
      </c>
      <c r="I87">
        <f>IFERROR(VLOOKUP(I24,Sheet2!$A$1:$B$114,2,FALSE),"")</f>
        <v>1218</v>
      </c>
      <c r="J87">
        <f>IFERROR(VLOOKUP(J24,Sheet2!$A$1:$B$114,2,FALSE),"")</f>
        <v>1219</v>
      </c>
      <c r="K87" t="str">
        <f>IFERROR(VLOOKUP(K24,Sheet2!$A$1:$B$114,2,FALSE),"")</f>
        <v/>
      </c>
      <c r="L87">
        <f>IFERROR(VLOOKUP(L24,Sheet2!$A$1:$B$114,2,FALSE),"")</f>
        <v>1102</v>
      </c>
      <c r="M87">
        <f>IFERROR(VLOOKUP(M24,Sheet2!$A$1:$B$114,2,FALSE),"")</f>
        <v>1103</v>
      </c>
      <c r="N87" t="str">
        <f>IFERROR(VLOOKUP(N24,Sheet2!$A$1:$B$114,2,FALSE),"")</f>
        <v/>
      </c>
      <c r="O87">
        <f>IFERROR(VLOOKUP(O24,Sheet2!$A$1:$B$114,2,FALSE),"")</f>
        <v>1102</v>
      </c>
      <c r="P87">
        <f>IFERROR(VLOOKUP(P24,Sheet2!$A$1:$B$114,2,FALSE),"")</f>
        <v>1104</v>
      </c>
      <c r="Q87" t="str">
        <f>IFERROR(VLOOKUP(Q24,Sheet2!$A$1:$B$114,2,FALSE),"")</f>
        <v/>
      </c>
      <c r="R87">
        <f>IFERROR(VLOOKUP(R24,Sheet2!$A$1:$B$114,2,FALSE),"")</f>
        <v>1102</v>
      </c>
      <c r="S87">
        <f>IFERROR(VLOOKUP(S24,Sheet2!$A$1:$B$114,2,FALSE),"")</f>
        <v>1123</v>
      </c>
      <c r="T87" t="str">
        <f>IFERROR(VLOOKUP(T24,Sheet2!$A$1:$B$114,2,FALSE),"")</f>
        <v/>
      </c>
      <c r="U87">
        <f>IFERROR(VLOOKUP(U24,Sheet2!$A$1:$B$114,2,FALSE),"")</f>
        <v>1102</v>
      </c>
      <c r="V87">
        <f>IFERROR(VLOOKUP(V24,Sheet2!$A$1:$B$114,2,FALSE),"")</f>
        <v>1106</v>
      </c>
      <c r="W87" t="str">
        <f>IFERROR(VLOOKUP(W24,Sheet2!$A$1:$B$114,2,FALSE),"")</f>
        <v/>
      </c>
      <c r="X87" t="str">
        <f>IFERROR(VLOOKUP(X24,Sheet2!$A$1:$B$114,2,FALSE),"")</f>
        <v/>
      </c>
      <c r="Y87" t="str">
        <f>IFERROR(VLOOKUP(Y24,Sheet2!$A$1:$B$114,2,FALSE),"")</f>
        <v/>
      </c>
      <c r="Z87" t="str">
        <f>IFERROR(VLOOKUP(Z24,Sheet2!$A$1:$B$114,2,FALSE),"")</f>
        <v/>
      </c>
      <c r="AA87" t="str">
        <f>IFERROR(VLOOKUP(AA24,Sheet2!$A$1:$B$114,2,FALSE),"")</f>
        <v/>
      </c>
      <c r="AB87" t="str">
        <f>IFERROR(VLOOKUP(AB24,Sheet2!$A$1:$B$114,2,FALSE),"")</f>
        <v/>
      </c>
      <c r="AC87" t="str">
        <f>IFERROR(VLOOKUP(AC24,Sheet2!$A$1:$B$114,2,FALSE),"")</f>
        <v/>
      </c>
    </row>
    <row r="88" spans="1:29">
      <c r="A88" s="8" t="s">
        <v>38</v>
      </c>
      <c r="C88">
        <f>IFERROR(VLOOKUP(C25,Sheet2!$A$1:$B$114,2,FALSE),"")</f>
        <v>1102</v>
      </c>
      <c r="D88">
        <f>IFERROR(VLOOKUP(D25,Sheet2!$A$1:$B$114,2,FALSE),"")</f>
        <v>1218</v>
      </c>
      <c r="E88">
        <f>IFERROR(VLOOKUP(E25,Sheet2!$A$1:$B$114,2,FALSE),"")</f>
        <v>1108</v>
      </c>
      <c r="F88">
        <f>IFERROR(VLOOKUP(F25,Sheet2!$A$1:$B$114,2,FALSE),"")</f>
        <v>1103</v>
      </c>
      <c r="G88" t="str">
        <f>IFERROR(VLOOKUP(G25,Sheet2!$A$1:$B$114,2,FALSE),"")</f>
        <v/>
      </c>
      <c r="H88">
        <f>IFERROR(VLOOKUP(H25,Sheet2!$A$1:$B$114,2,FALSE),"")</f>
        <v>1102</v>
      </c>
      <c r="I88">
        <f>IFERROR(VLOOKUP(I25,Sheet2!$A$1:$B$114,2,FALSE),"")</f>
        <v>1218</v>
      </c>
      <c r="J88">
        <f>IFERROR(VLOOKUP(J25,Sheet2!$A$1:$B$114,2,FALSE),"")</f>
        <v>1219</v>
      </c>
      <c r="K88" t="str">
        <f>IFERROR(VLOOKUP(K25,Sheet2!$A$1:$B$114,2,FALSE),"")</f>
        <v/>
      </c>
      <c r="L88">
        <f>IFERROR(VLOOKUP(L25,Sheet2!$A$1:$B$114,2,FALSE),"")</f>
        <v>1218</v>
      </c>
      <c r="M88">
        <f>IFERROR(VLOOKUP(M25,Sheet2!$A$1:$B$114,2,FALSE),"")</f>
        <v>1103</v>
      </c>
      <c r="N88" t="str">
        <f>IFERROR(VLOOKUP(N25,Sheet2!$A$1:$B$114,2,FALSE),"")</f>
        <v/>
      </c>
      <c r="O88">
        <f>IFERROR(VLOOKUP(O25,Sheet2!$A$1:$B$114,2,FALSE),"")</f>
        <v>1218</v>
      </c>
      <c r="P88">
        <f>IFERROR(VLOOKUP(P25,Sheet2!$A$1:$B$114,2,FALSE),"")</f>
        <v>1201</v>
      </c>
      <c r="Q88" t="str">
        <f>IFERROR(VLOOKUP(Q25,Sheet2!$A$1:$B$114,2,FALSE),"")</f>
        <v/>
      </c>
      <c r="R88">
        <f>IFERROR(VLOOKUP(R25,Sheet2!$A$1:$B$114,2,FALSE),"")</f>
        <v>1218</v>
      </c>
      <c r="S88">
        <f>IFERROR(VLOOKUP(S25,Sheet2!$A$1:$B$114,2,FALSE),"")</f>
        <v>1106</v>
      </c>
      <c r="T88" t="str">
        <f>IFERROR(VLOOKUP(T25,Sheet2!$A$1:$B$114,2,FALSE),"")</f>
        <v/>
      </c>
      <c r="U88">
        <f>IFERROR(VLOOKUP(U25,Sheet2!$A$1:$B$114,2,FALSE),"")</f>
        <v>1218</v>
      </c>
      <c r="V88">
        <f>IFERROR(VLOOKUP(V25,Sheet2!$A$1:$B$114,2,FALSE),"")</f>
        <v>1104</v>
      </c>
      <c r="W88" t="str">
        <f>IFERROR(VLOOKUP(W25,Sheet2!$A$1:$B$114,2,FALSE),"")</f>
        <v/>
      </c>
      <c r="X88" t="str">
        <f>IFERROR(VLOOKUP(X25,Sheet2!$A$1:$B$114,2,FALSE),"")</f>
        <v/>
      </c>
      <c r="Y88" t="str">
        <f>IFERROR(VLOOKUP(Y25,Sheet2!$A$1:$B$114,2,FALSE),"")</f>
        <v/>
      </c>
      <c r="Z88" t="str">
        <f>IFERROR(VLOOKUP(Z25,Sheet2!$A$1:$B$114,2,FALSE),"")</f>
        <v/>
      </c>
      <c r="AA88" t="str">
        <f>IFERROR(VLOOKUP(AA25,Sheet2!$A$1:$B$114,2,FALSE),"")</f>
        <v/>
      </c>
      <c r="AB88" t="str">
        <f>IFERROR(VLOOKUP(AB25,Sheet2!$A$1:$B$114,2,FALSE),"")</f>
        <v/>
      </c>
      <c r="AC88" t="str">
        <f>IFERROR(VLOOKUP(AC25,Sheet2!$A$1:$B$114,2,FALSE),"")</f>
        <v/>
      </c>
    </row>
    <row r="89" spans="1:29">
      <c r="A89" s="8" t="s">
        <v>34</v>
      </c>
      <c r="C89">
        <f>IFERROR(VLOOKUP(C26,Sheet2!$A$1:$B$114,2,FALSE),"")</f>
        <v>1101</v>
      </c>
      <c r="D89">
        <f>IFERROR(VLOOKUP(D26,Sheet2!$A$1:$B$114,2,FALSE),"")</f>
        <v>1105</v>
      </c>
      <c r="E89">
        <f>IFERROR(VLOOKUP(E26,Sheet2!$A$1:$B$114,2,FALSE),"")</f>
        <v>1219</v>
      </c>
      <c r="F89">
        <f>IFERROR(VLOOKUP(F26,Sheet2!$A$1:$B$114,2,FALSE),"")</f>
        <v>1109</v>
      </c>
      <c r="G89" t="str">
        <f>IFERROR(VLOOKUP(G26,Sheet2!$A$1:$B$114,2,FALSE),"")</f>
        <v/>
      </c>
      <c r="H89">
        <f>IFERROR(VLOOKUP(H26,Sheet2!$A$1:$B$114,2,FALSE),"")</f>
        <v>1102</v>
      </c>
      <c r="I89">
        <f>IFERROR(VLOOKUP(I26,Sheet2!$A$1:$B$114,2,FALSE),"")</f>
        <v>1218</v>
      </c>
      <c r="J89">
        <f>IFERROR(VLOOKUP(J26,Sheet2!$A$1:$B$114,2,FALSE),"")</f>
        <v>1219</v>
      </c>
      <c r="K89" t="str">
        <f>IFERROR(VLOOKUP(K26,Sheet2!$A$1:$B$114,2,FALSE),"")</f>
        <v/>
      </c>
      <c r="L89">
        <f>IFERROR(VLOOKUP(L26,Sheet2!$A$1:$B$114,2,FALSE),"")</f>
        <v>1219</v>
      </c>
      <c r="M89">
        <f>IFERROR(VLOOKUP(M26,Sheet2!$A$1:$B$114,2,FALSE),"")</f>
        <v>1109</v>
      </c>
      <c r="N89">
        <f>IFERROR(VLOOKUP(N26,Sheet2!$A$1:$B$114,2,FALSE),"")</f>
        <v>1103</v>
      </c>
      <c r="O89" t="str">
        <f>IFERROR(VLOOKUP(O26,Sheet2!$A$1:$B$114,2,FALSE),"")</f>
        <v/>
      </c>
      <c r="P89">
        <f>IFERROR(VLOOKUP(P26,Sheet2!$A$1:$B$114,2,FALSE),"")</f>
        <v>1219</v>
      </c>
      <c r="Q89">
        <f>IFERROR(VLOOKUP(Q26,Sheet2!$A$1:$B$114,2,FALSE),"")</f>
        <v>1107</v>
      </c>
      <c r="R89" t="str">
        <f>IFERROR(VLOOKUP(R26,Sheet2!$A$1:$B$114,2,FALSE),"")</f>
        <v/>
      </c>
      <c r="S89">
        <f>IFERROR(VLOOKUP(S26,Sheet2!$A$1:$B$114,2,FALSE),"")</f>
        <v>1219</v>
      </c>
      <c r="T89">
        <f>IFERROR(VLOOKUP(T26,Sheet2!$A$1:$B$114,2,FALSE),"")</f>
        <v>1135</v>
      </c>
      <c r="U89" t="str">
        <f>IFERROR(VLOOKUP(U26,Sheet2!$A$1:$B$114,2,FALSE),"")</f>
        <v/>
      </c>
      <c r="V89">
        <f>IFERROR(VLOOKUP(V26,Sheet2!$A$1:$B$114,2,FALSE),"")</f>
        <v>1108</v>
      </c>
      <c r="W89">
        <f>IFERROR(VLOOKUP(W26,Sheet2!$A$1:$B$114,2,FALSE),"")</f>
        <v>1219</v>
      </c>
      <c r="X89" t="str">
        <f>IFERROR(VLOOKUP(X26,Sheet2!$A$1:$B$114,2,FALSE),"")</f>
        <v/>
      </c>
      <c r="Y89" t="str">
        <f>IFERROR(VLOOKUP(Y26,Sheet2!$A$1:$B$114,2,FALSE),"")</f>
        <v/>
      </c>
      <c r="Z89" t="str">
        <f>IFERROR(VLOOKUP(Z26,Sheet2!$A$1:$B$114,2,FALSE),"")</f>
        <v/>
      </c>
      <c r="AA89" t="str">
        <f>IFERROR(VLOOKUP(AA26,Sheet2!$A$1:$B$114,2,FALSE),"")</f>
        <v/>
      </c>
      <c r="AB89" t="str">
        <f>IFERROR(VLOOKUP(AB26,Sheet2!$A$1:$B$114,2,FALSE),"")</f>
        <v/>
      </c>
      <c r="AC89" t="str">
        <f>IFERROR(VLOOKUP(AC26,Sheet2!$A$1:$B$114,2,FALSE),"")</f>
        <v/>
      </c>
    </row>
    <row r="90" spans="1:29">
      <c r="A90" s="8" t="s">
        <v>37</v>
      </c>
      <c r="C90">
        <f>IFERROR(VLOOKUP(C27,Sheet2!$A$1:$B$114,2,FALSE),"")</f>
        <v>1102</v>
      </c>
      <c r="D90">
        <f>IFERROR(VLOOKUP(D27,Sheet2!$A$1:$B$114,2,FALSE),"")</f>
        <v>1218</v>
      </c>
      <c r="E90">
        <f>IFERROR(VLOOKUP(E27,Sheet2!$A$1:$B$114,2,FALSE),"")</f>
        <v>1108</v>
      </c>
      <c r="F90">
        <f>IFERROR(VLOOKUP(F27,Sheet2!$A$1:$B$114,2,FALSE),"")</f>
        <v>1103</v>
      </c>
      <c r="G90" t="str">
        <f>IFERROR(VLOOKUP(G27,Sheet2!$A$1:$B$114,2,FALSE),"")</f>
        <v/>
      </c>
      <c r="H90">
        <f>IFERROR(VLOOKUP(H27,Sheet2!$A$1:$B$114,2,FALSE),"")</f>
        <v>1101</v>
      </c>
      <c r="I90">
        <f>IFERROR(VLOOKUP(I27,Sheet2!$A$1:$B$114,2,FALSE),"")</f>
        <v>1105</v>
      </c>
      <c r="J90">
        <f>IFERROR(VLOOKUP(J27,Sheet2!$A$1:$B$114,2,FALSE),"")</f>
        <v>1108</v>
      </c>
      <c r="K90" t="str">
        <f>IFERROR(VLOOKUP(K27,Sheet2!$A$1:$B$114,2,FALSE),"")</f>
        <v/>
      </c>
      <c r="L90">
        <f>IFERROR(VLOOKUP(L27,Sheet2!$A$1:$B$114,2,FALSE),"")</f>
        <v>1108</v>
      </c>
      <c r="M90">
        <f>IFERROR(VLOOKUP(M27,Sheet2!$A$1:$B$114,2,FALSE),"")</f>
        <v>1109</v>
      </c>
      <c r="N90">
        <f>IFERROR(VLOOKUP(N27,Sheet2!$A$1:$B$114,2,FALSE),"")</f>
        <v>1103</v>
      </c>
      <c r="O90" t="str">
        <f>IFERROR(VLOOKUP(O27,Sheet2!$A$1:$B$114,2,FALSE),"")</f>
        <v/>
      </c>
      <c r="P90">
        <f>IFERROR(VLOOKUP(P27,Sheet2!$A$1:$B$114,2,FALSE),"")</f>
        <v>1108</v>
      </c>
      <c r="Q90">
        <f>IFERROR(VLOOKUP(Q27,Sheet2!$A$1:$B$114,2,FALSE),"")</f>
        <v>1107</v>
      </c>
      <c r="R90" t="str">
        <f>IFERROR(VLOOKUP(R27,Sheet2!$A$1:$B$114,2,FALSE),"")</f>
        <v/>
      </c>
      <c r="S90">
        <f>IFERROR(VLOOKUP(S27,Sheet2!$A$1:$B$114,2,FALSE),"")</f>
        <v>1108</v>
      </c>
      <c r="T90">
        <f>IFERROR(VLOOKUP(T27,Sheet2!$A$1:$B$114,2,FALSE),"")</f>
        <v>1135</v>
      </c>
      <c r="U90" t="str">
        <f>IFERROR(VLOOKUP(U27,Sheet2!$A$1:$B$114,2,FALSE),"")</f>
        <v/>
      </c>
      <c r="V90">
        <f>IFERROR(VLOOKUP(V27,Sheet2!$A$1:$B$114,2,FALSE),"")</f>
        <v>1108</v>
      </c>
      <c r="W90">
        <f>IFERROR(VLOOKUP(W27,Sheet2!$A$1:$B$114,2,FALSE),"")</f>
        <v>1219</v>
      </c>
      <c r="X90" t="str">
        <f>IFERROR(VLOOKUP(X27,Sheet2!$A$1:$B$114,2,FALSE),"")</f>
        <v/>
      </c>
      <c r="Y90" t="str">
        <f>IFERROR(VLOOKUP(Y27,Sheet2!$A$1:$B$114,2,FALSE),"")</f>
        <v/>
      </c>
      <c r="Z90" t="str">
        <f>IFERROR(VLOOKUP(Z27,Sheet2!$A$1:$B$114,2,FALSE),"")</f>
        <v/>
      </c>
      <c r="AA90" t="str">
        <f>IFERROR(VLOOKUP(AA27,Sheet2!$A$1:$B$114,2,FALSE),"")</f>
        <v/>
      </c>
      <c r="AB90" t="str">
        <f>IFERROR(VLOOKUP(AB27,Sheet2!$A$1:$B$114,2,FALSE),"")</f>
        <v/>
      </c>
      <c r="AC90" t="str">
        <f>IFERROR(VLOOKUP(AC27,Sheet2!$A$1:$B$114,2,FALSE),"")</f>
        <v/>
      </c>
    </row>
    <row r="91" spans="1:29">
      <c r="A91" s="25" t="s">
        <v>7</v>
      </c>
      <c r="C91">
        <f>IFERROR(VLOOKUP(C28,Sheet2!$A$1:$B$114,2,FALSE),"")</f>
        <v>1101</v>
      </c>
      <c r="D91">
        <f>IFERROR(VLOOKUP(D28,Sheet2!$A$1:$B$114,2,FALSE),"")</f>
        <v>1105</v>
      </c>
      <c r="E91">
        <f>IFERROR(VLOOKUP(E28,Sheet2!$A$1:$B$114,2,FALSE),"")</f>
        <v>1219</v>
      </c>
      <c r="F91">
        <f>IFERROR(VLOOKUP(F28,Sheet2!$A$1:$B$114,2,FALSE),"")</f>
        <v>1109</v>
      </c>
      <c r="G91" t="str">
        <f>IFERROR(VLOOKUP(G28,Sheet2!$A$1:$B$114,2,FALSE),"")</f>
        <v/>
      </c>
      <c r="H91">
        <f>IFERROR(VLOOKUP(H28,Sheet2!$A$1:$B$114,2,FALSE),"")</f>
        <v>1108</v>
      </c>
      <c r="I91">
        <f>IFERROR(VLOOKUP(I28,Sheet2!$A$1:$B$114,2,FALSE),"")</f>
        <v>1109</v>
      </c>
      <c r="J91">
        <f>IFERROR(VLOOKUP(J28,Sheet2!$A$1:$B$114,2,FALSE),"")</f>
        <v>1103</v>
      </c>
      <c r="K91" t="str">
        <f>IFERROR(VLOOKUP(K28,Sheet2!$A$1:$B$114,2,FALSE),"")</f>
        <v/>
      </c>
      <c r="L91">
        <f>IFERROR(VLOOKUP(L28,Sheet2!$A$1:$B$114,2,FALSE),"")</f>
        <v>1219</v>
      </c>
      <c r="M91">
        <f>IFERROR(VLOOKUP(M28,Sheet2!$A$1:$B$114,2,FALSE),"")</f>
        <v>1109</v>
      </c>
      <c r="N91">
        <f>IFERROR(VLOOKUP(N28,Sheet2!$A$1:$B$114,2,FALSE),"")</f>
        <v>1103</v>
      </c>
      <c r="O91" t="str">
        <f>IFERROR(VLOOKUP(O28,Sheet2!$A$1:$B$114,2,FALSE),"")</f>
        <v/>
      </c>
      <c r="P91">
        <f>IFERROR(VLOOKUP(P28,Sheet2!$A$1:$B$114,2,FALSE),"")</f>
        <v>1101</v>
      </c>
      <c r="Q91">
        <f>IFERROR(VLOOKUP(Q28,Sheet2!$A$1:$B$114,2,FALSE),"")</f>
        <v>1109</v>
      </c>
      <c r="R91" t="str">
        <f>IFERROR(VLOOKUP(R28,Sheet2!$A$1:$B$114,2,FALSE),"")</f>
        <v/>
      </c>
      <c r="S91">
        <f>IFERROR(VLOOKUP(S28,Sheet2!$A$1:$B$114,2,FALSE),"")</f>
        <v>1105</v>
      </c>
      <c r="T91">
        <f>IFERROR(VLOOKUP(T28,Sheet2!$A$1:$B$114,2,FALSE),"")</f>
        <v>1109</v>
      </c>
      <c r="U91" t="str">
        <f>IFERROR(VLOOKUP(U28,Sheet2!$A$1:$B$114,2,FALSE),"")</f>
        <v/>
      </c>
      <c r="V91" t="str">
        <f>IFERROR(VLOOKUP(V28,Sheet2!$A$1:$B$114,2,FALSE),"")</f>
        <v/>
      </c>
      <c r="W91" t="str">
        <f>IFERROR(VLOOKUP(W28,Sheet2!$A$1:$B$114,2,FALSE),"")</f>
        <v/>
      </c>
      <c r="X91" t="str">
        <f>IFERROR(VLOOKUP(X28,Sheet2!$A$1:$B$114,2,FALSE),"")</f>
        <v/>
      </c>
      <c r="Y91" t="str">
        <f>IFERROR(VLOOKUP(Y28,Sheet2!$A$1:$B$114,2,FALSE),"")</f>
        <v/>
      </c>
      <c r="Z91" t="str">
        <f>IFERROR(VLOOKUP(Z28,Sheet2!$A$1:$B$114,2,FALSE),"")</f>
        <v/>
      </c>
      <c r="AA91" t="str">
        <f>IFERROR(VLOOKUP(AA28,Sheet2!$A$1:$B$114,2,FALSE),"")</f>
        <v/>
      </c>
      <c r="AB91" t="str">
        <f>IFERROR(VLOOKUP(AB28,Sheet2!$A$1:$B$114,2,FALSE),"")</f>
        <v/>
      </c>
      <c r="AC91" t="str">
        <f>IFERROR(VLOOKUP(AC28,Sheet2!$A$1:$B$114,2,FALSE),"")</f>
        <v/>
      </c>
    </row>
    <row r="92" spans="1:29">
      <c r="A92" s="25" t="s">
        <v>72</v>
      </c>
      <c r="C92">
        <f>IFERROR(VLOOKUP(C29,Sheet2!$A$1:$B$114,2,FALSE),"")</f>
        <v>1102</v>
      </c>
      <c r="D92">
        <f>IFERROR(VLOOKUP(D29,Sheet2!$A$1:$B$114,2,FALSE),"")</f>
        <v>1218</v>
      </c>
      <c r="E92">
        <f>IFERROR(VLOOKUP(E29,Sheet2!$A$1:$B$114,2,FALSE),"")</f>
        <v>1108</v>
      </c>
      <c r="F92">
        <f>IFERROR(VLOOKUP(F29,Sheet2!$A$1:$B$114,2,FALSE),"")</f>
        <v>1103</v>
      </c>
      <c r="G92" t="str">
        <f>IFERROR(VLOOKUP(G29,Sheet2!$A$1:$B$114,2,FALSE),"")</f>
        <v/>
      </c>
      <c r="H92">
        <f>IFERROR(VLOOKUP(H29,Sheet2!$A$1:$B$114,2,FALSE),"")</f>
        <v>1108</v>
      </c>
      <c r="I92">
        <f>IFERROR(VLOOKUP(I29,Sheet2!$A$1:$B$114,2,FALSE),"")</f>
        <v>1109</v>
      </c>
      <c r="J92">
        <f>IFERROR(VLOOKUP(J29,Sheet2!$A$1:$B$114,2,FALSE),"")</f>
        <v>1103</v>
      </c>
      <c r="K92" t="str">
        <f>IFERROR(VLOOKUP(K29,Sheet2!$A$1:$B$114,2,FALSE),"")</f>
        <v/>
      </c>
      <c r="L92">
        <f>IFERROR(VLOOKUP(L29,Sheet2!$A$1:$B$114,2,FALSE),"")</f>
        <v>1219</v>
      </c>
      <c r="M92">
        <f>IFERROR(VLOOKUP(M29,Sheet2!$A$1:$B$114,2,FALSE),"")</f>
        <v>1109</v>
      </c>
      <c r="N92">
        <f>IFERROR(VLOOKUP(N29,Sheet2!$A$1:$B$114,2,FALSE),"")</f>
        <v>1103</v>
      </c>
      <c r="O92" t="str">
        <f>IFERROR(VLOOKUP(O29,Sheet2!$A$1:$B$114,2,FALSE),"")</f>
        <v/>
      </c>
      <c r="P92">
        <f>IFERROR(VLOOKUP(P29,Sheet2!$A$1:$B$114,2,FALSE),"")</f>
        <v>1102</v>
      </c>
      <c r="Q92">
        <f>IFERROR(VLOOKUP(Q29,Sheet2!$A$1:$B$114,2,FALSE),"")</f>
        <v>1103</v>
      </c>
      <c r="R92" t="str">
        <f>IFERROR(VLOOKUP(R29,Sheet2!$A$1:$B$114,2,FALSE),"")</f>
        <v/>
      </c>
      <c r="S92">
        <f>IFERROR(VLOOKUP(S29,Sheet2!$A$1:$B$114,2,FALSE),"")</f>
        <v>1218</v>
      </c>
      <c r="T92">
        <f>IFERROR(VLOOKUP(T29,Sheet2!$A$1:$B$114,2,FALSE),"")</f>
        <v>1103</v>
      </c>
      <c r="U92" t="str">
        <f>IFERROR(VLOOKUP(U29,Sheet2!$A$1:$B$114,2,FALSE),"")</f>
        <v/>
      </c>
      <c r="V92" t="str">
        <f>IFERROR(VLOOKUP(V29,Sheet2!$A$1:$B$114,2,FALSE),"")</f>
        <v/>
      </c>
      <c r="W92" t="str">
        <f>IFERROR(VLOOKUP(W29,Sheet2!$A$1:$B$114,2,FALSE),"")</f>
        <v/>
      </c>
      <c r="X92" t="str">
        <f>IFERROR(VLOOKUP(X29,Sheet2!$A$1:$B$114,2,FALSE),"")</f>
        <v/>
      </c>
      <c r="Y92" t="str">
        <f>IFERROR(VLOOKUP(Y29,Sheet2!$A$1:$B$114,2,FALSE),"")</f>
        <v/>
      </c>
      <c r="Z92" t="str">
        <f>IFERROR(VLOOKUP(Z29,Sheet2!$A$1:$B$114,2,FALSE),"")</f>
        <v/>
      </c>
      <c r="AA92" t="str">
        <f>IFERROR(VLOOKUP(AA29,Sheet2!$A$1:$B$114,2,FALSE),"")</f>
        <v/>
      </c>
      <c r="AB92" t="str">
        <f>IFERROR(VLOOKUP(AB29,Sheet2!$A$1:$B$114,2,FALSE),"")</f>
        <v/>
      </c>
      <c r="AC92" t="str">
        <f>IFERROR(VLOOKUP(AC29,Sheet2!$A$1:$B$114,2,FALSE),"")</f>
        <v/>
      </c>
    </row>
    <row r="93" spans="1:29">
      <c r="A93" s="25" t="s">
        <v>35</v>
      </c>
      <c r="C93">
        <f>IFERROR(VLOOKUP(C30,Sheet2!$A$1:$B$114,2,FALSE),"")</f>
        <v>1107</v>
      </c>
      <c r="D93">
        <f>IFERROR(VLOOKUP(D30,Sheet2!$A$1:$B$114,2,FALSE),"")</f>
        <v>1135</v>
      </c>
      <c r="E93">
        <f>IFERROR(VLOOKUP(E30,Sheet2!$A$1:$B$114,2,FALSE),"")</f>
        <v>1106</v>
      </c>
      <c r="F93" t="str">
        <f>IFERROR(VLOOKUP(F30,Sheet2!$A$1:$B$114,2,FALSE),"")</f>
        <v/>
      </c>
      <c r="G93">
        <f>IFERROR(VLOOKUP(G30,Sheet2!$A$1:$B$114,2,FALSE),"")</f>
        <v>1107</v>
      </c>
      <c r="H93">
        <f>IFERROR(VLOOKUP(H30,Sheet2!$A$1:$B$114,2,FALSE),"")</f>
        <v>1201</v>
      </c>
      <c r="I93">
        <f>IFERROR(VLOOKUP(I30,Sheet2!$A$1:$B$114,2,FALSE),"")</f>
        <v>1123</v>
      </c>
      <c r="J93" t="str">
        <f>IFERROR(VLOOKUP(J30,Sheet2!$A$1:$B$114,2,FALSE),"")</f>
        <v/>
      </c>
      <c r="K93">
        <f>IFERROR(VLOOKUP(K30,Sheet2!$A$1:$B$114,2,FALSE),"")</f>
        <v>1108</v>
      </c>
      <c r="L93">
        <f>IFERROR(VLOOKUP(L30,Sheet2!$A$1:$B$114,2,FALSE),"")</f>
        <v>1107</v>
      </c>
      <c r="M93" t="str">
        <f>IFERROR(VLOOKUP(M30,Sheet2!$A$1:$B$114,2,FALSE),"")</f>
        <v/>
      </c>
      <c r="N93">
        <f>IFERROR(VLOOKUP(N30,Sheet2!$A$1:$B$114,2,FALSE),"")</f>
        <v>1219</v>
      </c>
      <c r="O93">
        <f>IFERROR(VLOOKUP(O30,Sheet2!$A$1:$B$114,2,FALSE),"")</f>
        <v>1107</v>
      </c>
      <c r="P93" t="str">
        <f>IFERROR(VLOOKUP(P30,Sheet2!$A$1:$B$114,2,FALSE),"")</f>
        <v/>
      </c>
      <c r="Q93">
        <f>IFERROR(VLOOKUP(Q30,Sheet2!$A$1:$B$114,2,FALSE),"")</f>
        <v>1101</v>
      </c>
      <c r="R93">
        <f>IFERROR(VLOOKUP(R30,Sheet2!$A$1:$B$114,2,FALSE),"")</f>
        <v>1107</v>
      </c>
      <c r="S93" t="str">
        <f>IFERROR(VLOOKUP(S30,Sheet2!$A$1:$B$114,2,FALSE),"")</f>
        <v/>
      </c>
      <c r="T93" t="str">
        <f>IFERROR(VLOOKUP(T30,Sheet2!$A$1:$B$114,2,FALSE),"")</f>
        <v/>
      </c>
      <c r="U93" t="str">
        <f>IFERROR(VLOOKUP(U30,Sheet2!$A$1:$B$114,2,FALSE),"")</f>
        <v/>
      </c>
      <c r="V93" t="str">
        <f>IFERROR(VLOOKUP(V30,Sheet2!$A$1:$B$114,2,FALSE),"")</f>
        <v/>
      </c>
      <c r="W93" t="str">
        <f>IFERROR(VLOOKUP(W30,Sheet2!$A$1:$B$114,2,FALSE),"")</f>
        <v/>
      </c>
      <c r="X93" t="str">
        <f>IFERROR(VLOOKUP(X30,Sheet2!$A$1:$B$114,2,FALSE),"")</f>
        <v/>
      </c>
      <c r="Y93" t="str">
        <f>IFERROR(VLOOKUP(Y30,Sheet2!$A$1:$B$114,2,FALSE),"")</f>
        <v/>
      </c>
      <c r="Z93" t="str">
        <f>IFERROR(VLOOKUP(Z30,Sheet2!$A$1:$B$114,2,FALSE),"")</f>
        <v/>
      </c>
      <c r="AA93" t="str">
        <f>IFERROR(VLOOKUP(AA30,Sheet2!$A$1:$B$114,2,FALSE),"")</f>
        <v/>
      </c>
      <c r="AB93" t="str">
        <f>IFERROR(VLOOKUP(AB30,Sheet2!$A$1:$B$114,2,FALSE),"")</f>
        <v/>
      </c>
      <c r="AC93" t="str">
        <f>IFERROR(VLOOKUP(AC30,Sheet2!$A$1:$B$114,2,FALSE),"")</f>
        <v/>
      </c>
    </row>
    <row r="94" spans="1:29">
      <c r="A94" s="25" t="s">
        <v>73</v>
      </c>
      <c r="C94">
        <f>IFERROR(VLOOKUP(C31,Sheet2!$A$1:$B$114,2,FALSE),"")</f>
        <v>1104</v>
      </c>
      <c r="D94">
        <f>IFERROR(VLOOKUP(D31,Sheet2!$A$1:$B$114,2,FALSE),"")</f>
        <v>1201</v>
      </c>
      <c r="E94">
        <f>IFERROR(VLOOKUP(E31,Sheet2!$A$1:$B$114,2,FALSE),"")</f>
        <v>1106</v>
      </c>
      <c r="F94" t="str">
        <f>IFERROR(VLOOKUP(F31,Sheet2!$A$1:$B$114,2,FALSE),"")</f>
        <v/>
      </c>
      <c r="G94">
        <f>IFERROR(VLOOKUP(G31,Sheet2!$A$1:$B$114,2,FALSE),"")</f>
        <v>1135</v>
      </c>
      <c r="H94">
        <f>IFERROR(VLOOKUP(H31,Sheet2!$A$1:$B$114,2,FALSE),"")</f>
        <v>1123</v>
      </c>
      <c r="I94">
        <f>IFERROR(VLOOKUP(I31,Sheet2!$A$1:$B$114,2,FALSE),"")</f>
        <v>1104</v>
      </c>
      <c r="J94" t="str">
        <f>IFERROR(VLOOKUP(J31,Sheet2!$A$1:$B$114,2,FALSE),"")</f>
        <v/>
      </c>
      <c r="K94">
        <f>IFERROR(VLOOKUP(K31,Sheet2!$A$1:$B$114,2,FALSE),"")</f>
        <v>1101</v>
      </c>
      <c r="L94">
        <f>IFERROR(VLOOKUP(L31,Sheet2!$A$1:$B$114,2,FALSE),"")</f>
        <v>1104</v>
      </c>
      <c r="M94" t="str">
        <f>IFERROR(VLOOKUP(M31,Sheet2!$A$1:$B$114,2,FALSE),"")</f>
        <v/>
      </c>
      <c r="N94">
        <f>IFERROR(VLOOKUP(N31,Sheet2!$A$1:$B$114,2,FALSE),"")</f>
        <v>1102</v>
      </c>
      <c r="O94">
        <f>IFERROR(VLOOKUP(O31,Sheet2!$A$1:$B$114,2,FALSE),"")</f>
        <v>1104</v>
      </c>
      <c r="P94" t="str">
        <f>IFERROR(VLOOKUP(P31,Sheet2!$A$1:$B$114,2,FALSE),"")</f>
        <v/>
      </c>
      <c r="Q94">
        <f>IFERROR(VLOOKUP(Q31,Sheet2!$A$1:$B$114,2,FALSE),"")</f>
        <v>1218</v>
      </c>
      <c r="R94">
        <f>IFERROR(VLOOKUP(R31,Sheet2!$A$1:$B$114,2,FALSE),"")</f>
        <v>1104</v>
      </c>
      <c r="S94" t="str">
        <f>IFERROR(VLOOKUP(S31,Sheet2!$A$1:$B$114,2,FALSE),"")</f>
        <v/>
      </c>
      <c r="T94" t="str">
        <f>IFERROR(VLOOKUP(T31,Sheet2!$A$1:$B$114,2,FALSE),"")</f>
        <v/>
      </c>
      <c r="U94" t="str">
        <f>IFERROR(VLOOKUP(U31,Sheet2!$A$1:$B$114,2,FALSE),"")</f>
        <v/>
      </c>
      <c r="V94" t="str">
        <f>IFERROR(VLOOKUP(V31,Sheet2!$A$1:$B$114,2,FALSE),"")</f>
        <v/>
      </c>
      <c r="W94" t="str">
        <f>IFERROR(VLOOKUP(W31,Sheet2!$A$1:$B$114,2,FALSE),"")</f>
        <v/>
      </c>
      <c r="X94" t="str">
        <f>IFERROR(VLOOKUP(X31,Sheet2!$A$1:$B$114,2,FALSE),"")</f>
        <v/>
      </c>
      <c r="Y94" t="str">
        <f>IFERROR(VLOOKUP(Y31,Sheet2!$A$1:$B$114,2,FALSE),"")</f>
        <v/>
      </c>
      <c r="Z94" t="str">
        <f>IFERROR(VLOOKUP(Z31,Sheet2!$A$1:$B$114,2,FALSE),"")</f>
        <v/>
      </c>
      <c r="AA94" t="str">
        <f>IFERROR(VLOOKUP(AA31,Sheet2!$A$1:$B$114,2,FALSE),"")</f>
        <v/>
      </c>
      <c r="AB94" t="str">
        <f>IFERROR(VLOOKUP(AB31,Sheet2!$A$1:$B$114,2,FALSE),"")</f>
        <v/>
      </c>
      <c r="AC94" t="str">
        <f>IFERROR(VLOOKUP(AC31,Sheet2!$A$1:$B$114,2,FALSE),"")</f>
        <v/>
      </c>
    </row>
    <row r="95" spans="1:29">
      <c r="A95" s="25" t="s">
        <v>15</v>
      </c>
      <c r="C95">
        <f>IFERROR(VLOOKUP(C32,Sheet2!$A$1:$B$114,2,FALSE),"")</f>
        <v>1107</v>
      </c>
      <c r="D95">
        <f>IFERROR(VLOOKUP(D32,Sheet2!$A$1:$B$114,2,FALSE),"")</f>
        <v>1135</v>
      </c>
      <c r="E95">
        <f>IFERROR(VLOOKUP(E32,Sheet2!$A$1:$B$114,2,FALSE),"")</f>
        <v>1106</v>
      </c>
      <c r="F95" t="str">
        <f>IFERROR(VLOOKUP(F32,Sheet2!$A$1:$B$114,2,FALSE),"")</f>
        <v/>
      </c>
      <c r="G95">
        <f>IFERROR(VLOOKUP(G32,Sheet2!$A$1:$B$114,2,FALSE),"")</f>
        <v>1135</v>
      </c>
      <c r="H95">
        <f>IFERROR(VLOOKUP(H32,Sheet2!$A$1:$B$114,2,FALSE),"")</f>
        <v>1123</v>
      </c>
      <c r="I95">
        <f>IFERROR(VLOOKUP(I32,Sheet2!$A$1:$B$114,2,FALSE),"")</f>
        <v>1104</v>
      </c>
      <c r="J95" t="str">
        <f>IFERROR(VLOOKUP(J32,Sheet2!$A$1:$B$114,2,FALSE),"")</f>
        <v/>
      </c>
      <c r="K95">
        <f>IFERROR(VLOOKUP(K32,Sheet2!$A$1:$B$114,2,FALSE),"")</f>
        <v>1108</v>
      </c>
      <c r="L95">
        <f>IFERROR(VLOOKUP(L32,Sheet2!$A$1:$B$114,2,FALSE),"")</f>
        <v>1135</v>
      </c>
      <c r="M95" t="str">
        <f>IFERROR(VLOOKUP(M32,Sheet2!$A$1:$B$114,2,FALSE),"")</f>
        <v/>
      </c>
      <c r="N95">
        <f>IFERROR(VLOOKUP(N32,Sheet2!$A$1:$B$114,2,FALSE),"")</f>
        <v>1219</v>
      </c>
      <c r="O95">
        <f>IFERROR(VLOOKUP(O32,Sheet2!$A$1:$B$114,2,FALSE),"")</f>
        <v>1135</v>
      </c>
      <c r="P95" t="str">
        <f>IFERROR(VLOOKUP(P32,Sheet2!$A$1:$B$114,2,FALSE),"")</f>
        <v/>
      </c>
      <c r="Q95">
        <f>IFERROR(VLOOKUP(Q32,Sheet2!$A$1:$B$114,2,FALSE),"")</f>
        <v>1105</v>
      </c>
      <c r="R95">
        <f>IFERROR(VLOOKUP(R32,Sheet2!$A$1:$B$114,2,FALSE),"")</f>
        <v>1135</v>
      </c>
      <c r="S95" t="str">
        <f>IFERROR(VLOOKUP(S32,Sheet2!$A$1:$B$114,2,FALSE),"")</f>
        <v/>
      </c>
      <c r="T95" t="str">
        <f>IFERROR(VLOOKUP(T32,Sheet2!$A$1:$B$114,2,FALSE),"")</f>
        <v/>
      </c>
      <c r="U95" t="str">
        <f>IFERROR(VLOOKUP(U32,Sheet2!$A$1:$B$114,2,FALSE),"")</f>
        <v/>
      </c>
      <c r="V95" t="str">
        <f>IFERROR(VLOOKUP(V32,Sheet2!$A$1:$B$114,2,FALSE),"")</f>
        <v/>
      </c>
      <c r="W95" t="str">
        <f>IFERROR(VLOOKUP(W32,Sheet2!$A$1:$B$114,2,FALSE),"")</f>
        <v/>
      </c>
      <c r="X95" t="str">
        <f>IFERROR(VLOOKUP(X32,Sheet2!$A$1:$B$114,2,FALSE),"")</f>
        <v/>
      </c>
      <c r="Y95" t="str">
        <f>IFERROR(VLOOKUP(Y32,Sheet2!$A$1:$B$114,2,FALSE),"")</f>
        <v/>
      </c>
      <c r="Z95" t="str">
        <f>IFERROR(VLOOKUP(Z32,Sheet2!$A$1:$B$114,2,FALSE),"")</f>
        <v/>
      </c>
      <c r="AA95" t="str">
        <f>IFERROR(VLOOKUP(AA32,Sheet2!$A$1:$B$114,2,FALSE),"")</f>
        <v/>
      </c>
      <c r="AB95" t="str">
        <f>IFERROR(VLOOKUP(AB32,Sheet2!$A$1:$B$114,2,FALSE),"")</f>
        <v/>
      </c>
      <c r="AC95" t="str">
        <f>IFERROR(VLOOKUP(AC32,Sheet2!$A$1:$B$114,2,FALSE),"")</f>
        <v/>
      </c>
    </row>
    <row r="96" spans="1:29">
      <c r="A96" s="25" t="s">
        <v>5</v>
      </c>
      <c r="C96">
        <f>IFERROR(VLOOKUP(C33,Sheet2!$A$1:$B$114,2,FALSE),"")</f>
        <v>1104</v>
      </c>
      <c r="D96">
        <f>IFERROR(VLOOKUP(D33,Sheet2!$A$1:$B$114,2,FALSE),"")</f>
        <v>1201</v>
      </c>
      <c r="E96">
        <f>IFERROR(VLOOKUP(E33,Sheet2!$A$1:$B$114,2,FALSE),"")</f>
        <v>1106</v>
      </c>
      <c r="F96" t="str">
        <f>IFERROR(VLOOKUP(F33,Sheet2!$A$1:$B$114,2,FALSE),"")</f>
        <v/>
      </c>
      <c r="G96">
        <f>IFERROR(VLOOKUP(G33,Sheet2!$A$1:$B$114,2,FALSE),"")</f>
        <v>1107</v>
      </c>
      <c r="H96">
        <f>IFERROR(VLOOKUP(H33,Sheet2!$A$1:$B$114,2,FALSE),"")</f>
        <v>1201</v>
      </c>
      <c r="I96">
        <f>IFERROR(VLOOKUP(I33,Sheet2!$A$1:$B$114,2,FALSE),"")</f>
        <v>1123</v>
      </c>
      <c r="J96" t="str">
        <f>IFERROR(VLOOKUP(J33,Sheet2!$A$1:$B$114,2,FALSE),"")</f>
        <v/>
      </c>
      <c r="K96">
        <f>IFERROR(VLOOKUP(K33,Sheet2!$A$1:$B$114,2,FALSE),"")</f>
        <v>1105</v>
      </c>
      <c r="L96">
        <f>IFERROR(VLOOKUP(L33,Sheet2!$A$1:$B$114,2,FALSE),"")</f>
        <v>1201</v>
      </c>
      <c r="M96" t="str">
        <f>IFERROR(VLOOKUP(M33,Sheet2!$A$1:$B$114,2,FALSE),"")</f>
        <v/>
      </c>
      <c r="N96">
        <f>IFERROR(VLOOKUP(N33,Sheet2!$A$1:$B$114,2,FALSE),"")</f>
        <v>1218</v>
      </c>
      <c r="O96">
        <f>IFERROR(VLOOKUP(O33,Sheet2!$A$1:$B$114,2,FALSE),"")</f>
        <v>1201</v>
      </c>
      <c r="P96" t="str">
        <f>IFERROR(VLOOKUP(P33,Sheet2!$A$1:$B$114,2,FALSE),"")</f>
        <v/>
      </c>
      <c r="Q96">
        <f>IFERROR(VLOOKUP(Q33,Sheet2!$A$1:$B$114,2,FALSE),"")</f>
        <v>1201</v>
      </c>
      <c r="R96">
        <f>IFERROR(VLOOKUP(R33,Sheet2!$A$1:$B$114,2,FALSE),"")</f>
        <v>1123</v>
      </c>
      <c r="S96" t="str">
        <f>IFERROR(VLOOKUP(S33,Sheet2!$A$1:$B$114,2,FALSE),"")</f>
        <v/>
      </c>
      <c r="T96" t="str">
        <f>IFERROR(VLOOKUP(T33,Sheet2!$A$1:$B$114,2,FALSE),"")</f>
        <v/>
      </c>
      <c r="U96" t="str">
        <f>IFERROR(VLOOKUP(U33,Sheet2!$A$1:$B$114,2,FALSE),"")</f>
        <v/>
      </c>
      <c r="V96" t="str">
        <f>IFERROR(VLOOKUP(V33,Sheet2!$A$1:$B$114,2,FALSE),"")</f>
        <v/>
      </c>
      <c r="W96" t="str">
        <f>IFERROR(VLOOKUP(W33,Sheet2!$A$1:$B$114,2,FALSE),"")</f>
        <v/>
      </c>
      <c r="X96" t="str">
        <f>IFERROR(VLOOKUP(X33,Sheet2!$A$1:$B$114,2,FALSE),"")</f>
        <v/>
      </c>
      <c r="Y96" t="str">
        <f>IFERROR(VLOOKUP(Y33,Sheet2!$A$1:$B$114,2,FALSE),"")</f>
        <v/>
      </c>
      <c r="Z96" t="str">
        <f>IFERROR(VLOOKUP(Z33,Sheet2!$A$1:$B$114,2,FALSE),"")</f>
        <v/>
      </c>
      <c r="AA96" t="str">
        <f>IFERROR(VLOOKUP(AA33,Sheet2!$A$1:$B$114,2,FALSE),"")</f>
        <v/>
      </c>
      <c r="AB96" t="str">
        <f>IFERROR(VLOOKUP(AB33,Sheet2!$A$1:$B$114,2,FALSE),"")</f>
        <v/>
      </c>
      <c r="AC96" t="str">
        <f>IFERROR(VLOOKUP(AC33,Sheet2!$A$1:$B$114,2,FALSE),"")</f>
        <v/>
      </c>
    </row>
    <row r="97" spans="1:29">
      <c r="A97" s="25" t="s">
        <v>74</v>
      </c>
      <c r="C97">
        <f>IFERROR(VLOOKUP(C34,Sheet2!$A$1:$B$114,2,FALSE),"")</f>
        <v>1135</v>
      </c>
      <c r="D97">
        <f>IFERROR(VLOOKUP(D34,Sheet2!$A$1:$B$114,2,FALSE),"")</f>
        <v>1123</v>
      </c>
      <c r="E97">
        <f>IFERROR(VLOOKUP(E34,Sheet2!$A$1:$B$114,2,FALSE),"")</f>
        <v>1104</v>
      </c>
      <c r="F97" t="str">
        <f>IFERROR(VLOOKUP(F34,Sheet2!$A$1:$B$114,2,FALSE),"")</f>
        <v/>
      </c>
      <c r="G97">
        <f>IFERROR(VLOOKUP(G34,Sheet2!$A$1:$B$114,2,FALSE),"")</f>
        <v>1107</v>
      </c>
      <c r="H97">
        <f>IFERROR(VLOOKUP(H34,Sheet2!$A$1:$B$114,2,FALSE),"")</f>
        <v>1201</v>
      </c>
      <c r="I97">
        <f>IFERROR(VLOOKUP(I34,Sheet2!$A$1:$B$114,2,FALSE),"")</f>
        <v>1123</v>
      </c>
      <c r="J97" t="str">
        <f>IFERROR(VLOOKUP(J34,Sheet2!$A$1:$B$114,2,FALSE),"")</f>
        <v/>
      </c>
      <c r="K97">
        <f>IFERROR(VLOOKUP(K34,Sheet2!$A$1:$B$114,2,FALSE),"")</f>
        <v>1101</v>
      </c>
      <c r="L97">
        <f>IFERROR(VLOOKUP(L34,Sheet2!$A$1:$B$114,2,FALSE),"")</f>
        <v>1123</v>
      </c>
      <c r="M97" t="str">
        <f>IFERROR(VLOOKUP(M34,Sheet2!$A$1:$B$114,2,FALSE),"")</f>
        <v/>
      </c>
      <c r="N97">
        <f>IFERROR(VLOOKUP(N34,Sheet2!$A$1:$B$114,2,FALSE),"")</f>
        <v>1102</v>
      </c>
      <c r="O97">
        <f>IFERROR(VLOOKUP(O34,Sheet2!$A$1:$B$114,2,FALSE),"")</f>
        <v>1123</v>
      </c>
      <c r="P97" t="str">
        <f>IFERROR(VLOOKUP(P34,Sheet2!$A$1:$B$114,2,FALSE),"")</f>
        <v/>
      </c>
      <c r="Q97">
        <f>IFERROR(VLOOKUP(Q34,Sheet2!$A$1:$B$114,2,FALSE),"")</f>
        <v>1201</v>
      </c>
      <c r="R97">
        <f>IFERROR(VLOOKUP(R34,Sheet2!$A$1:$B$114,2,FALSE),"")</f>
        <v>1123</v>
      </c>
      <c r="S97" t="str">
        <f>IFERROR(VLOOKUP(S34,Sheet2!$A$1:$B$114,2,FALSE),"")</f>
        <v/>
      </c>
      <c r="T97" t="str">
        <f>IFERROR(VLOOKUP(T34,Sheet2!$A$1:$B$114,2,FALSE),"")</f>
        <v/>
      </c>
      <c r="U97" t="str">
        <f>IFERROR(VLOOKUP(U34,Sheet2!$A$1:$B$114,2,FALSE),"")</f>
        <v/>
      </c>
      <c r="V97" t="str">
        <f>IFERROR(VLOOKUP(V34,Sheet2!$A$1:$B$114,2,FALSE),"")</f>
        <v/>
      </c>
      <c r="W97" t="str">
        <f>IFERROR(VLOOKUP(W34,Sheet2!$A$1:$B$114,2,FALSE),"")</f>
        <v/>
      </c>
      <c r="X97" t="str">
        <f>IFERROR(VLOOKUP(X34,Sheet2!$A$1:$B$114,2,FALSE),"")</f>
        <v/>
      </c>
      <c r="Y97" t="str">
        <f>IFERROR(VLOOKUP(Y34,Sheet2!$A$1:$B$114,2,FALSE),"")</f>
        <v/>
      </c>
      <c r="Z97" t="str">
        <f>IFERROR(VLOOKUP(Z34,Sheet2!$A$1:$B$114,2,FALSE),"")</f>
        <v/>
      </c>
      <c r="AA97" t="str">
        <f>IFERROR(VLOOKUP(AA34,Sheet2!$A$1:$B$114,2,FALSE),"")</f>
        <v/>
      </c>
      <c r="AB97" t="str">
        <f>IFERROR(VLOOKUP(AB34,Sheet2!$A$1:$B$114,2,FALSE),"")</f>
        <v/>
      </c>
      <c r="AC97" t="str">
        <f>IFERROR(VLOOKUP(AC34,Sheet2!$A$1:$B$114,2,FALSE),"")</f>
        <v/>
      </c>
    </row>
    <row r="98" spans="1:29">
      <c r="A98" s="25" t="s">
        <v>36</v>
      </c>
      <c r="C98">
        <f>IFERROR(VLOOKUP(C35,Sheet2!$A$1:$B$114,2,FALSE),"")</f>
        <v>1107</v>
      </c>
      <c r="D98">
        <f>IFERROR(VLOOKUP(D35,Sheet2!$A$1:$B$114,2,FALSE),"")</f>
        <v>1135</v>
      </c>
      <c r="E98">
        <f>IFERROR(VLOOKUP(E35,Sheet2!$A$1:$B$114,2,FALSE),"")</f>
        <v>1106</v>
      </c>
      <c r="F98" t="str">
        <f>IFERROR(VLOOKUP(F35,Sheet2!$A$1:$B$114,2,FALSE),"")</f>
        <v/>
      </c>
      <c r="G98">
        <f>IFERROR(VLOOKUP(G35,Sheet2!$A$1:$B$114,2,FALSE),"")</f>
        <v>1104</v>
      </c>
      <c r="H98">
        <f>IFERROR(VLOOKUP(H35,Sheet2!$A$1:$B$114,2,FALSE),"")</f>
        <v>1201</v>
      </c>
      <c r="I98">
        <f>IFERROR(VLOOKUP(I35,Sheet2!$A$1:$B$114,2,FALSE),"")</f>
        <v>1106</v>
      </c>
      <c r="J98" t="str">
        <f>IFERROR(VLOOKUP(J35,Sheet2!$A$1:$B$114,2,FALSE),"")</f>
        <v/>
      </c>
      <c r="K98">
        <f>IFERROR(VLOOKUP(K35,Sheet2!$A$1:$B$114,2,FALSE),"")</f>
        <v>1105</v>
      </c>
      <c r="L98">
        <f>IFERROR(VLOOKUP(L35,Sheet2!$A$1:$B$114,2,FALSE),"")</f>
        <v>1106</v>
      </c>
      <c r="M98" t="str">
        <f>IFERROR(VLOOKUP(M35,Sheet2!$A$1:$B$114,2,FALSE),"")</f>
        <v/>
      </c>
      <c r="N98">
        <f>IFERROR(VLOOKUP(N35,Sheet2!$A$1:$B$114,2,FALSE),"")</f>
        <v>1218</v>
      </c>
      <c r="O98">
        <f>IFERROR(VLOOKUP(O35,Sheet2!$A$1:$B$114,2,FALSE),"")</f>
        <v>1106</v>
      </c>
      <c r="P98" t="str">
        <f>IFERROR(VLOOKUP(P35,Sheet2!$A$1:$B$114,2,FALSE),"")</f>
        <v/>
      </c>
      <c r="Q98">
        <f>IFERROR(VLOOKUP(Q35,Sheet2!$A$1:$B$114,2,FALSE),"")</f>
        <v>1102</v>
      </c>
      <c r="R98">
        <f>IFERROR(VLOOKUP(R35,Sheet2!$A$1:$B$114,2,FALSE),"")</f>
        <v>1106</v>
      </c>
      <c r="S98" t="str">
        <f>IFERROR(VLOOKUP(S35,Sheet2!$A$1:$B$114,2,FALSE),"")</f>
        <v/>
      </c>
      <c r="T98" t="str">
        <f>IFERROR(VLOOKUP(T35,Sheet2!$A$1:$B$114,2,FALSE),"")</f>
        <v/>
      </c>
      <c r="U98" t="str">
        <f>IFERROR(VLOOKUP(U35,Sheet2!$A$1:$B$114,2,FALSE),"")</f>
        <v/>
      </c>
      <c r="V98" t="str">
        <f>IFERROR(VLOOKUP(V35,Sheet2!$A$1:$B$114,2,FALSE),"")</f>
        <v/>
      </c>
      <c r="W98" t="str">
        <f>IFERROR(VLOOKUP(W35,Sheet2!$A$1:$B$114,2,FALSE),"")</f>
        <v/>
      </c>
      <c r="X98" t="str">
        <f>IFERROR(VLOOKUP(X35,Sheet2!$A$1:$B$114,2,FALSE),"")</f>
        <v/>
      </c>
      <c r="Y98" t="str">
        <f>IFERROR(VLOOKUP(Y35,Sheet2!$A$1:$B$114,2,FALSE),"")</f>
        <v/>
      </c>
      <c r="Z98" t="str">
        <f>IFERROR(VLOOKUP(Z35,Sheet2!$A$1:$B$114,2,FALSE),"")</f>
        <v/>
      </c>
      <c r="AA98" t="str">
        <f>IFERROR(VLOOKUP(AA35,Sheet2!$A$1:$B$114,2,FALSE),"")</f>
        <v/>
      </c>
      <c r="AB98" t="str">
        <f>IFERROR(VLOOKUP(AB35,Sheet2!$A$1:$B$114,2,FALSE),"")</f>
        <v/>
      </c>
      <c r="AC98" t="str">
        <f>IFERROR(VLOOKUP(AC35,Sheet2!$A$1:$B$114,2,FALSE),"")</f>
        <v/>
      </c>
    </row>
    <row r="99" spans="1:29">
      <c r="A99" s="47" t="s">
        <v>52</v>
      </c>
      <c r="C99">
        <f>IFERROR(VLOOKUP(C36,Sheet2!$A$1:$B$114,2,FALSE),"")</f>
        <v>1203</v>
      </c>
      <c r="D99">
        <f>IFERROR(VLOOKUP(D36,Sheet2!$A$1:$B$114,2,FALSE),"")</f>
        <v>1205</v>
      </c>
      <c r="E99">
        <f>IFERROR(VLOOKUP(E36,Sheet2!$A$1:$B$114,2,FALSE),"")</f>
        <v>1134</v>
      </c>
      <c r="F99" t="str">
        <f>IFERROR(VLOOKUP(F36,Sheet2!$A$1:$B$114,2,FALSE),"")</f>
        <v/>
      </c>
      <c r="G99">
        <f>IFERROR(VLOOKUP(G36,Sheet2!$A$1:$B$114,2,FALSE),"")</f>
        <v>1134</v>
      </c>
      <c r="H99">
        <f>IFERROR(VLOOKUP(H36,Sheet2!$A$1:$B$114,2,FALSE),"")</f>
        <v>1133</v>
      </c>
      <c r="I99" t="str">
        <f>IFERROR(VLOOKUP(I36,Sheet2!$A$1:$B$114,2,FALSE),"")</f>
        <v/>
      </c>
      <c r="J99">
        <f>IFERROR(VLOOKUP(J36,Sheet2!$A$1:$B$114,2,FALSE),"")</f>
        <v>1134</v>
      </c>
      <c r="K99">
        <f>IFERROR(VLOOKUP(K36,Sheet2!$A$1:$B$114,2,FALSE),"")</f>
        <v>1203</v>
      </c>
      <c r="L99" t="str">
        <f>IFERROR(VLOOKUP(L36,Sheet2!$A$1:$B$114,2,FALSE),"")</f>
        <v/>
      </c>
      <c r="M99">
        <f>IFERROR(VLOOKUP(M36,Sheet2!$A$1:$B$114,2,FALSE),"")</f>
        <v>1134</v>
      </c>
      <c r="N99">
        <f>IFERROR(VLOOKUP(N36,Sheet2!$A$1:$B$114,2,FALSE),"")</f>
        <v>1204</v>
      </c>
      <c r="O99" t="str">
        <f>IFERROR(VLOOKUP(O36,Sheet2!$A$1:$B$114,2,FALSE),"")</f>
        <v/>
      </c>
      <c r="P99" t="str">
        <f>IFERROR(VLOOKUP(P36,Sheet2!$A$1:$B$114,2,FALSE),"")</f>
        <v/>
      </c>
      <c r="Q99" t="str">
        <f>IFERROR(VLOOKUP(Q36,Sheet2!$A$1:$B$114,2,FALSE),"")</f>
        <v/>
      </c>
      <c r="R99" t="str">
        <f>IFERROR(VLOOKUP(R36,Sheet2!$A$1:$B$114,2,FALSE),"")</f>
        <v/>
      </c>
      <c r="S99" t="str">
        <f>IFERROR(VLOOKUP(S36,Sheet2!$A$1:$B$114,2,FALSE),"")</f>
        <v/>
      </c>
      <c r="T99" t="str">
        <f>IFERROR(VLOOKUP(T36,Sheet2!$A$1:$B$114,2,FALSE),"")</f>
        <v/>
      </c>
      <c r="U99" t="str">
        <f>IFERROR(VLOOKUP(U36,Sheet2!$A$1:$B$114,2,FALSE),"")</f>
        <v/>
      </c>
      <c r="V99" t="str">
        <f>IFERROR(VLOOKUP(V36,Sheet2!$A$1:$B$114,2,FALSE),"")</f>
        <v/>
      </c>
      <c r="W99" t="str">
        <f>IFERROR(VLOOKUP(W36,Sheet2!$A$1:$B$114,2,FALSE),"")</f>
        <v/>
      </c>
      <c r="X99" t="str">
        <f>IFERROR(VLOOKUP(X36,Sheet2!$A$1:$B$114,2,FALSE),"")</f>
        <v/>
      </c>
      <c r="Y99" t="str">
        <f>IFERROR(VLOOKUP(Y36,Sheet2!$A$1:$B$114,2,FALSE),"")</f>
        <v/>
      </c>
      <c r="Z99" t="str">
        <f>IFERROR(VLOOKUP(Z36,Sheet2!$A$1:$B$114,2,FALSE),"")</f>
        <v/>
      </c>
      <c r="AA99" t="str">
        <f>IFERROR(VLOOKUP(AA36,Sheet2!$A$1:$B$114,2,FALSE),"")</f>
        <v/>
      </c>
      <c r="AB99" t="str">
        <f>IFERROR(VLOOKUP(AB36,Sheet2!$A$1:$B$114,2,FALSE),"")</f>
        <v/>
      </c>
      <c r="AC99" t="str">
        <f>IFERROR(VLOOKUP(AC36,Sheet2!$A$1:$B$114,2,FALSE),"")</f>
        <v/>
      </c>
    </row>
    <row r="100" spans="1:29">
      <c r="A100" s="47" t="s">
        <v>20</v>
      </c>
      <c r="C100">
        <f>IFERROR(VLOOKUP(C37,Sheet2!$A$1:$B$114,2,FALSE),"")</f>
        <v>1206</v>
      </c>
      <c r="D100">
        <f>IFERROR(VLOOKUP(D37,Sheet2!$A$1:$B$114,2,FALSE),"")</f>
        <v>1133</v>
      </c>
      <c r="E100">
        <f>IFERROR(VLOOKUP(E37,Sheet2!$A$1:$B$114,2,FALSE),"")</f>
        <v>1205</v>
      </c>
      <c r="F100" t="str">
        <f>IFERROR(VLOOKUP(F37,Sheet2!$A$1:$B$114,2,FALSE),"")</f>
        <v/>
      </c>
      <c r="G100">
        <f>IFERROR(VLOOKUP(G37,Sheet2!$A$1:$B$114,2,FALSE),"")</f>
        <v>1134</v>
      </c>
      <c r="H100">
        <f>IFERROR(VLOOKUP(H37,Sheet2!$A$1:$B$114,2,FALSE),"")</f>
        <v>1133</v>
      </c>
      <c r="I100" t="str">
        <f>IFERROR(VLOOKUP(I37,Sheet2!$A$1:$B$114,2,FALSE),"")</f>
        <v/>
      </c>
      <c r="J100">
        <f>IFERROR(VLOOKUP(J37,Sheet2!$A$1:$B$114,2,FALSE),"")</f>
        <v>1133</v>
      </c>
      <c r="K100">
        <f>IFERROR(VLOOKUP(K37,Sheet2!$A$1:$B$114,2,FALSE),"")</f>
        <v>1204</v>
      </c>
      <c r="L100" t="str">
        <f>IFERROR(VLOOKUP(L37,Sheet2!$A$1:$B$114,2,FALSE),"")</f>
        <v/>
      </c>
      <c r="M100">
        <f>IFERROR(VLOOKUP(M37,Sheet2!$A$1:$B$114,2,FALSE),"")</f>
        <v>1133</v>
      </c>
      <c r="N100">
        <f>IFERROR(VLOOKUP(N37,Sheet2!$A$1:$B$114,2,FALSE),"")</f>
        <v>1206</v>
      </c>
      <c r="O100" t="str">
        <f>IFERROR(VLOOKUP(O37,Sheet2!$A$1:$B$114,2,FALSE),"")</f>
        <v/>
      </c>
      <c r="P100" t="str">
        <f>IFERROR(VLOOKUP(P37,Sheet2!$A$1:$B$114,2,FALSE),"")</f>
        <v/>
      </c>
      <c r="Q100" t="str">
        <f>IFERROR(VLOOKUP(Q37,Sheet2!$A$1:$B$114,2,FALSE),"")</f>
        <v/>
      </c>
      <c r="R100" t="str">
        <f>IFERROR(VLOOKUP(R37,Sheet2!$A$1:$B$114,2,FALSE),"")</f>
        <v/>
      </c>
      <c r="S100" t="str">
        <f>IFERROR(VLOOKUP(S37,Sheet2!$A$1:$B$114,2,FALSE),"")</f>
        <v/>
      </c>
      <c r="T100" t="str">
        <f>IFERROR(VLOOKUP(T37,Sheet2!$A$1:$B$114,2,FALSE),"")</f>
        <v/>
      </c>
      <c r="U100" t="str">
        <f>IFERROR(VLOOKUP(U37,Sheet2!$A$1:$B$114,2,FALSE),"")</f>
        <v/>
      </c>
      <c r="V100" t="str">
        <f>IFERROR(VLOOKUP(V37,Sheet2!$A$1:$B$114,2,FALSE),"")</f>
        <v/>
      </c>
      <c r="W100" t="str">
        <f>IFERROR(VLOOKUP(W37,Sheet2!$A$1:$B$114,2,FALSE),"")</f>
        <v/>
      </c>
      <c r="X100" t="str">
        <f>IFERROR(VLOOKUP(X37,Sheet2!$A$1:$B$114,2,FALSE),"")</f>
        <v/>
      </c>
      <c r="Y100" t="str">
        <f>IFERROR(VLOOKUP(Y37,Sheet2!$A$1:$B$114,2,FALSE),"")</f>
        <v/>
      </c>
      <c r="Z100" t="str">
        <f>IFERROR(VLOOKUP(Z37,Sheet2!$A$1:$B$114,2,FALSE),"")</f>
        <v/>
      </c>
      <c r="AA100" t="str">
        <f>IFERROR(VLOOKUP(AA37,Sheet2!$A$1:$B$114,2,FALSE),"")</f>
        <v/>
      </c>
      <c r="AB100" t="str">
        <f>IFERROR(VLOOKUP(AB37,Sheet2!$A$1:$B$114,2,FALSE),"")</f>
        <v/>
      </c>
      <c r="AC100" t="str">
        <f>IFERROR(VLOOKUP(AC37,Sheet2!$A$1:$B$114,2,FALSE),"")</f>
        <v/>
      </c>
    </row>
    <row r="101" spans="1:29">
      <c r="A101" s="47" t="s">
        <v>75</v>
      </c>
      <c r="C101">
        <f>IFERROR(VLOOKUP(C38,Sheet2!$A$1:$B$114,2,FALSE),"")</f>
        <v>1203</v>
      </c>
      <c r="D101">
        <f>IFERROR(VLOOKUP(D38,Sheet2!$A$1:$B$114,2,FALSE),"")</f>
        <v>1205</v>
      </c>
      <c r="E101">
        <f>IFERROR(VLOOKUP(E38,Sheet2!$A$1:$B$114,2,FALSE),"")</f>
        <v>1134</v>
      </c>
      <c r="F101" t="str">
        <f>IFERROR(VLOOKUP(F38,Sheet2!$A$1:$B$114,2,FALSE),"")</f>
        <v/>
      </c>
      <c r="G101">
        <f>IFERROR(VLOOKUP(G38,Sheet2!$A$1:$B$114,2,FALSE),"")</f>
        <v>1203</v>
      </c>
      <c r="H101">
        <f>IFERROR(VLOOKUP(H38,Sheet2!$A$1:$B$114,2,FALSE),"")</f>
        <v>1204</v>
      </c>
      <c r="I101" t="str">
        <f>IFERROR(VLOOKUP(I38,Sheet2!$A$1:$B$114,2,FALSE),"")</f>
        <v/>
      </c>
      <c r="J101">
        <f>IFERROR(VLOOKUP(J38,Sheet2!$A$1:$B$114,2,FALSE),"")</f>
        <v>1203</v>
      </c>
      <c r="K101">
        <f>IFERROR(VLOOKUP(K38,Sheet2!$A$1:$B$114,2,FALSE),"")</f>
        <v>1206</v>
      </c>
      <c r="L101" t="str">
        <f>IFERROR(VLOOKUP(L38,Sheet2!$A$1:$B$114,2,FALSE),"")</f>
        <v/>
      </c>
      <c r="M101">
        <f>IFERROR(VLOOKUP(M38,Sheet2!$A$1:$B$114,2,FALSE),"")</f>
        <v>1134</v>
      </c>
      <c r="N101">
        <f>IFERROR(VLOOKUP(N38,Sheet2!$A$1:$B$114,2,FALSE),"")</f>
        <v>1203</v>
      </c>
      <c r="O101" t="str">
        <f>IFERROR(VLOOKUP(O38,Sheet2!$A$1:$B$114,2,FALSE),"")</f>
        <v/>
      </c>
      <c r="P101" t="str">
        <f>IFERROR(VLOOKUP(P38,Sheet2!$A$1:$B$114,2,FALSE),"")</f>
        <v/>
      </c>
      <c r="Q101" t="str">
        <f>IFERROR(VLOOKUP(Q38,Sheet2!$A$1:$B$114,2,FALSE),"")</f>
        <v/>
      </c>
      <c r="R101" t="str">
        <f>IFERROR(VLOOKUP(R38,Sheet2!$A$1:$B$114,2,FALSE),"")</f>
        <v/>
      </c>
      <c r="S101" t="str">
        <f>IFERROR(VLOOKUP(S38,Sheet2!$A$1:$B$114,2,FALSE),"")</f>
        <v/>
      </c>
      <c r="T101" t="str">
        <f>IFERROR(VLOOKUP(T38,Sheet2!$A$1:$B$114,2,FALSE),"")</f>
        <v/>
      </c>
      <c r="U101" t="str">
        <f>IFERROR(VLOOKUP(U38,Sheet2!$A$1:$B$114,2,FALSE),"")</f>
        <v/>
      </c>
      <c r="V101" t="str">
        <f>IFERROR(VLOOKUP(V38,Sheet2!$A$1:$B$114,2,FALSE),"")</f>
        <v/>
      </c>
      <c r="W101" t="str">
        <f>IFERROR(VLOOKUP(W38,Sheet2!$A$1:$B$114,2,FALSE),"")</f>
        <v/>
      </c>
      <c r="X101" t="str">
        <f>IFERROR(VLOOKUP(X38,Sheet2!$A$1:$B$114,2,FALSE),"")</f>
        <v/>
      </c>
      <c r="Y101" t="str">
        <f>IFERROR(VLOOKUP(Y38,Sheet2!$A$1:$B$114,2,FALSE),"")</f>
        <v/>
      </c>
      <c r="Z101" t="str">
        <f>IFERROR(VLOOKUP(Z38,Sheet2!$A$1:$B$114,2,FALSE),"")</f>
        <v/>
      </c>
      <c r="AA101" t="str">
        <f>IFERROR(VLOOKUP(AA38,Sheet2!$A$1:$B$114,2,FALSE),"")</f>
        <v/>
      </c>
      <c r="AB101" t="str">
        <f>IFERROR(VLOOKUP(AB38,Sheet2!$A$1:$B$114,2,FALSE),"")</f>
        <v/>
      </c>
      <c r="AC101" t="str">
        <f>IFERROR(VLOOKUP(AC38,Sheet2!$A$1:$B$114,2,FALSE),"")</f>
        <v/>
      </c>
    </row>
    <row r="102" spans="1:29">
      <c r="A102" s="47" t="s">
        <v>76</v>
      </c>
      <c r="C102">
        <f>IFERROR(VLOOKUP(C39,Sheet2!$A$1:$B$114,2,FALSE),"")</f>
        <v>1203</v>
      </c>
      <c r="D102">
        <f>IFERROR(VLOOKUP(D39,Sheet2!$A$1:$B$114,2,FALSE),"")</f>
        <v>1204</v>
      </c>
      <c r="E102" t="str">
        <f>IFERROR(VLOOKUP(E39,Sheet2!$A$1:$B$114,2,FALSE),"")</f>
        <v/>
      </c>
      <c r="F102">
        <f>IFERROR(VLOOKUP(F39,Sheet2!$A$1:$B$114,2,FALSE),"")</f>
        <v>1133</v>
      </c>
      <c r="G102">
        <f>IFERROR(VLOOKUP(G39,Sheet2!$A$1:$B$114,2,FALSE),"")</f>
        <v>1204</v>
      </c>
      <c r="H102" t="str">
        <f>IFERROR(VLOOKUP(H39,Sheet2!$A$1:$B$114,2,FALSE),"")</f>
        <v/>
      </c>
      <c r="I102">
        <f>IFERROR(VLOOKUP(I39,Sheet2!$A$1:$B$114,2,FALSE),"")</f>
        <v>1204</v>
      </c>
      <c r="J102">
        <f>IFERROR(VLOOKUP(J39,Sheet2!$A$1:$B$114,2,FALSE),"")</f>
        <v>1205</v>
      </c>
      <c r="K102" t="str">
        <f>IFERROR(VLOOKUP(K39,Sheet2!$A$1:$B$114,2,FALSE),"")</f>
        <v/>
      </c>
      <c r="L102">
        <f>IFERROR(VLOOKUP(L39,Sheet2!$A$1:$B$114,2,FALSE),"")</f>
        <v>1134</v>
      </c>
      <c r="M102">
        <f>IFERROR(VLOOKUP(M39,Sheet2!$A$1:$B$114,2,FALSE),"")</f>
        <v>1204</v>
      </c>
      <c r="N102" t="str">
        <f>IFERROR(VLOOKUP(N39,Sheet2!$A$1:$B$114,2,FALSE),"")</f>
        <v/>
      </c>
      <c r="O102" t="str">
        <f>IFERROR(VLOOKUP(O39,Sheet2!$A$1:$B$114,2,FALSE),"")</f>
        <v/>
      </c>
      <c r="P102" t="str">
        <f>IFERROR(VLOOKUP(P39,Sheet2!$A$1:$B$114,2,FALSE),"")</f>
        <v/>
      </c>
      <c r="Q102" t="str">
        <f>IFERROR(VLOOKUP(Q39,Sheet2!$A$1:$B$114,2,FALSE),"")</f>
        <v/>
      </c>
      <c r="R102" t="str">
        <f>IFERROR(VLOOKUP(R39,Sheet2!$A$1:$B$114,2,FALSE),"")</f>
        <v/>
      </c>
      <c r="S102" t="str">
        <f>IFERROR(VLOOKUP(S39,Sheet2!$A$1:$B$114,2,FALSE),"")</f>
        <v/>
      </c>
      <c r="T102" t="str">
        <f>IFERROR(VLOOKUP(T39,Sheet2!$A$1:$B$114,2,FALSE),"")</f>
        <v/>
      </c>
      <c r="U102" t="str">
        <f>IFERROR(VLOOKUP(U39,Sheet2!$A$1:$B$114,2,FALSE),"")</f>
        <v/>
      </c>
      <c r="V102" t="str">
        <f>IFERROR(VLOOKUP(V39,Sheet2!$A$1:$B$114,2,FALSE),"")</f>
        <v/>
      </c>
      <c r="W102" t="str">
        <f>IFERROR(VLOOKUP(W39,Sheet2!$A$1:$B$114,2,FALSE),"")</f>
        <v/>
      </c>
      <c r="X102" t="str">
        <f>IFERROR(VLOOKUP(X39,Sheet2!$A$1:$B$114,2,FALSE),"")</f>
        <v/>
      </c>
      <c r="Y102" t="str">
        <f>IFERROR(VLOOKUP(Y39,Sheet2!$A$1:$B$114,2,FALSE),"")</f>
        <v/>
      </c>
      <c r="Z102" t="str">
        <f>IFERROR(VLOOKUP(Z39,Sheet2!$A$1:$B$114,2,FALSE),"")</f>
        <v/>
      </c>
      <c r="AA102" t="str">
        <f>IFERROR(VLOOKUP(AA39,Sheet2!$A$1:$B$114,2,FALSE),"")</f>
        <v/>
      </c>
      <c r="AB102" t="str">
        <f>IFERROR(VLOOKUP(AB39,Sheet2!$A$1:$B$114,2,FALSE),"")</f>
        <v/>
      </c>
      <c r="AC102" t="str">
        <f>IFERROR(VLOOKUP(AC39,Sheet2!$A$1:$B$114,2,FALSE),"")</f>
        <v/>
      </c>
    </row>
    <row r="103" spans="1:29">
      <c r="A103" s="46" t="s">
        <v>70</v>
      </c>
      <c r="C103">
        <f>IFERROR(VLOOKUP(C40,Sheet2!$A$1:$B$114,2,FALSE),"")</f>
        <v>1206</v>
      </c>
      <c r="D103">
        <f>IFERROR(VLOOKUP(D40,Sheet2!$A$1:$B$114,2,FALSE),"")</f>
        <v>1133</v>
      </c>
      <c r="E103">
        <f>IFERROR(VLOOKUP(E40,Sheet2!$A$1:$B$114,2,FALSE),"")</f>
        <v>1205</v>
      </c>
      <c r="F103" t="str">
        <f>IFERROR(VLOOKUP(F40,Sheet2!$A$1:$B$114,2,FALSE),"")</f>
        <v/>
      </c>
      <c r="G103">
        <f>IFERROR(VLOOKUP(G40,Sheet2!$A$1:$B$114,2,FALSE),"")</f>
        <v>1206</v>
      </c>
      <c r="H103">
        <f>IFERROR(VLOOKUP(H40,Sheet2!$A$1:$B$114,2,FALSE),"")</f>
        <v>1205</v>
      </c>
      <c r="I103" t="str">
        <f>IFERROR(VLOOKUP(I40,Sheet2!$A$1:$B$114,2,FALSE),"")</f>
        <v/>
      </c>
      <c r="J103">
        <f>IFERROR(VLOOKUP(J40,Sheet2!$A$1:$B$114,2,FALSE),"")</f>
        <v>1203</v>
      </c>
      <c r="K103">
        <f>IFERROR(VLOOKUP(K40,Sheet2!$A$1:$B$114,2,FALSE),"")</f>
        <v>1206</v>
      </c>
      <c r="L103" t="str">
        <f>IFERROR(VLOOKUP(L40,Sheet2!$A$1:$B$114,2,FALSE),"")</f>
        <v/>
      </c>
      <c r="M103">
        <f>IFERROR(VLOOKUP(M40,Sheet2!$A$1:$B$114,2,FALSE),"")</f>
        <v>1133</v>
      </c>
      <c r="N103">
        <f>IFERROR(VLOOKUP(N40,Sheet2!$A$1:$B$114,2,FALSE),"")</f>
        <v>1206</v>
      </c>
      <c r="O103" t="str">
        <f>IFERROR(VLOOKUP(O40,Sheet2!$A$1:$B$114,2,FALSE),"")</f>
        <v/>
      </c>
      <c r="P103" t="str">
        <f>IFERROR(VLOOKUP(P40,Sheet2!$A$1:$B$114,2,FALSE),"")</f>
        <v/>
      </c>
      <c r="Q103" t="str">
        <f>IFERROR(VLOOKUP(Q40,Sheet2!$A$1:$B$114,2,FALSE),"")</f>
        <v/>
      </c>
      <c r="R103" t="str">
        <f>IFERROR(VLOOKUP(R40,Sheet2!$A$1:$B$114,2,FALSE),"")</f>
        <v/>
      </c>
      <c r="S103" t="str">
        <f>IFERROR(VLOOKUP(S40,Sheet2!$A$1:$B$114,2,FALSE),"")</f>
        <v/>
      </c>
      <c r="T103" t="str">
        <f>IFERROR(VLOOKUP(T40,Sheet2!$A$1:$B$114,2,FALSE),"")</f>
        <v/>
      </c>
      <c r="U103" t="str">
        <f>IFERROR(VLOOKUP(U40,Sheet2!$A$1:$B$114,2,FALSE),"")</f>
        <v/>
      </c>
      <c r="V103" t="str">
        <f>IFERROR(VLOOKUP(V40,Sheet2!$A$1:$B$114,2,FALSE),"")</f>
        <v/>
      </c>
      <c r="W103" t="str">
        <f>IFERROR(VLOOKUP(W40,Sheet2!$A$1:$B$114,2,FALSE),"")</f>
        <v/>
      </c>
      <c r="X103" t="str">
        <f>IFERROR(VLOOKUP(X40,Sheet2!$A$1:$B$114,2,FALSE),"")</f>
        <v/>
      </c>
      <c r="Y103" t="str">
        <f>IFERROR(VLOOKUP(Y40,Sheet2!$A$1:$B$114,2,FALSE),"")</f>
        <v/>
      </c>
      <c r="Z103" t="str">
        <f>IFERROR(VLOOKUP(Z40,Sheet2!$A$1:$B$114,2,FALSE),"")</f>
        <v/>
      </c>
      <c r="AA103" t="str">
        <f>IFERROR(VLOOKUP(AA40,Sheet2!$A$1:$B$114,2,FALSE),"")</f>
        <v/>
      </c>
      <c r="AB103" t="str">
        <f>IFERROR(VLOOKUP(AB40,Sheet2!$A$1:$B$114,2,FALSE),"")</f>
        <v/>
      </c>
      <c r="AC103" t="str">
        <f>IFERROR(VLOOKUP(AC40,Sheet2!$A$1:$B$114,2,FALSE),"")</f>
        <v/>
      </c>
    </row>
    <row r="104" spans="1:29">
      <c r="A104" s="46" t="s">
        <v>71</v>
      </c>
      <c r="C104">
        <f>IFERROR(VLOOKUP(C41,Sheet2!$A$1:$B$114,2,FALSE),"")</f>
        <v>1203</v>
      </c>
      <c r="D104">
        <f>IFERROR(VLOOKUP(D41,Sheet2!$A$1:$B$114,2,FALSE),"")</f>
        <v>1205</v>
      </c>
      <c r="E104">
        <f>IFERROR(VLOOKUP(E41,Sheet2!$A$1:$B$114,2,FALSE),"")</f>
        <v>1134</v>
      </c>
      <c r="F104" t="str">
        <f>IFERROR(VLOOKUP(F41,Sheet2!$A$1:$B$114,2,FALSE),"")</f>
        <v/>
      </c>
      <c r="G104">
        <f>IFERROR(VLOOKUP(G41,Sheet2!$A$1:$B$114,2,FALSE),"")</f>
        <v>1206</v>
      </c>
      <c r="H104">
        <f>IFERROR(VLOOKUP(H41,Sheet2!$A$1:$B$114,2,FALSE),"")</f>
        <v>1133</v>
      </c>
      <c r="I104">
        <f>IFERROR(VLOOKUP(I41,Sheet2!$A$1:$B$114,2,FALSE),"")</f>
        <v>1205</v>
      </c>
      <c r="J104" t="str">
        <f>IFERROR(VLOOKUP(J41,Sheet2!$A$1:$B$114,2,FALSE),"")</f>
        <v/>
      </c>
      <c r="K104">
        <f>IFERROR(VLOOKUP(K41,Sheet2!$A$1:$B$114,2,FALSE),"")</f>
        <v>1206</v>
      </c>
      <c r="L104">
        <f>IFERROR(VLOOKUP(L41,Sheet2!$A$1:$B$114,2,FALSE),"")</f>
        <v>1205</v>
      </c>
      <c r="M104" t="str">
        <f>IFERROR(VLOOKUP(M41,Sheet2!$A$1:$B$114,2,FALSE),"")</f>
        <v/>
      </c>
      <c r="N104">
        <f>IFERROR(VLOOKUP(N41,Sheet2!$A$1:$B$114,2,FALSE),"")</f>
        <v>1204</v>
      </c>
      <c r="O104">
        <f>IFERROR(VLOOKUP(O41,Sheet2!$A$1:$B$114,2,FALSE),"")</f>
        <v>1205</v>
      </c>
      <c r="P104" t="str">
        <f>IFERROR(VLOOKUP(P41,Sheet2!$A$1:$B$114,2,FALSE),"")</f>
        <v/>
      </c>
      <c r="Q104" t="str">
        <f>IFERROR(VLOOKUP(Q41,Sheet2!$A$1:$B$114,2,FALSE),"")</f>
        <v/>
      </c>
      <c r="R104" t="str">
        <f>IFERROR(VLOOKUP(R41,Sheet2!$A$1:$B$114,2,FALSE),"")</f>
        <v/>
      </c>
      <c r="S104" t="str">
        <f>IFERROR(VLOOKUP(S41,Sheet2!$A$1:$B$114,2,FALSE),"")</f>
        <v/>
      </c>
      <c r="T104" t="str">
        <f>IFERROR(VLOOKUP(T41,Sheet2!$A$1:$B$114,2,FALSE),"")</f>
        <v/>
      </c>
      <c r="U104" t="str">
        <f>IFERROR(VLOOKUP(U41,Sheet2!$A$1:$B$114,2,FALSE),"")</f>
        <v/>
      </c>
      <c r="V104" t="str">
        <f>IFERROR(VLOOKUP(V41,Sheet2!$A$1:$B$114,2,FALSE),"")</f>
        <v/>
      </c>
      <c r="W104" t="str">
        <f>IFERROR(VLOOKUP(W41,Sheet2!$A$1:$B$114,2,FALSE),"")</f>
        <v/>
      </c>
      <c r="X104" t="str">
        <f>IFERROR(VLOOKUP(X41,Sheet2!$A$1:$B$114,2,FALSE),"")</f>
        <v/>
      </c>
      <c r="Y104" t="str">
        <f>IFERROR(VLOOKUP(Y41,Sheet2!$A$1:$B$114,2,FALSE),"")</f>
        <v/>
      </c>
      <c r="Z104" t="str">
        <f>IFERROR(VLOOKUP(Z41,Sheet2!$A$1:$B$114,2,FALSE),"")</f>
        <v/>
      </c>
      <c r="AA104" t="str">
        <f>IFERROR(VLOOKUP(AA41,Sheet2!$A$1:$B$114,2,FALSE),"")</f>
        <v/>
      </c>
      <c r="AB104" t="str">
        <f>IFERROR(VLOOKUP(AB41,Sheet2!$A$1:$B$114,2,FALSE),"")</f>
        <v/>
      </c>
      <c r="AC104" t="str">
        <f>IFERROR(VLOOKUP(AC41,Sheet2!$A$1:$B$114,2,FALSE),"")</f>
        <v/>
      </c>
    </row>
    <row r="105" spans="1:29">
      <c r="A105" s="11" t="s">
        <v>93</v>
      </c>
      <c r="C105">
        <f>IFERROR(VLOOKUP(C42,Sheet2!$A$1:$B$114,2,FALSE),"")</f>
        <v>1211</v>
      </c>
      <c r="D105">
        <f>IFERROR(VLOOKUP(D42,Sheet2!$A$1:$B$114,2,FALSE),"")</f>
        <v>1121</v>
      </c>
      <c r="E105">
        <f>IFERROR(VLOOKUP(E42,Sheet2!$A$1:$B$114,2,FALSE),"")</f>
        <v>1127</v>
      </c>
      <c r="F105">
        <f>IFERROR(VLOOKUP(F42,Sheet2!$A$1:$B$114,2,FALSE),"")</f>
        <v>1126</v>
      </c>
      <c r="G105" t="str">
        <f>IFERROR(VLOOKUP(G42,Sheet2!$A$1:$B$114,2,FALSE),"")</f>
        <v/>
      </c>
      <c r="H105">
        <f>IFERROR(VLOOKUP(H42,Sheet2!$A$1:$B$114,2,FALSE),"")</f>
        <v>1211</v>
      </c>
      <c r="I105">
        <f>IFERROR(VLOOKUP(I42,Sheet2!$A$1:$B$114,2,FALSE),"")</f>
        <v>1121</v>
      </c>
      <c r="J105">
        <f>IFERROR(VLOOKUP(J42,Sheet2!$A$1:$B$114,2,FALSE),"")</f>
        <v>1212</v>
      </c>
      <c r="K105" t="str">
        <f>IFERROR(VLOOKUP(K42,Sheet2!$A$1:$B$114,2,FALSE),"")</f>
        <v/>
      </c>
      <c r="L105">
        <f>IFERROR(VLOOKUP(L42,Sheet2!$A$1:$B$114,2,FALSE),"")</f>
        <v>1211</v>
      </c>
      <c r="M105">
        <f>IFERROR(VLOOKUP(M42,Sheet2!$A$1:$B$114,2,FALSE),"")</f>
        <v>1126</v>
      </c>
      <c r="N105" t="str">
        <f>IFERROR(VLOOKUP(N42,Sheet2!$A$1:$B$114,2,FALSE),"")</f>
        <v/>
      </c>
      <c r="O105">
        <f>IFERROR(VLOOKUP(O42,Sheet2!$A$1:$B$114,2,FALSE),"")</f>
        <v>1211</v>
      </c>
      <c r="P105">
        <f>IFERROR(VLOOKUP(P42,Sheet2!$A$1:$B$114,2,FALSE),"")</f>
        <v>1110</v>
      </c>
      <c r="Q105" t="str">
        <f>IFERROR(VLOOKUP(Q42,Sheet2!$A$1:$B$114,2,FALSE),"")</f>
        <v/>
      </c>
      <c r="R105">
        <f>IFERROR(VLOOKUP(R42,Sheet2!$A$1:$B$114,2,FALSE),"")</f>
        <v>1211</v>
      </c>
      <c r="S105">
        <f>IFERROR(VLOOKUP(S42,Sheet2!$A$1:$B$114,2,FALSE),"")</f>
        <v>1202</v>
      </c>
      <c r="T105" t="str">
        <f>IFERROR(VLOOKUP(T42,Sheet2!$A$1:$B$114,2,FALSE),"")</f>
        <v/>
      </c>
      <c r="U105">
        <f>IFERROR(VLOOKUP(U42,Sheet2!$A$1:$B$114,2,FALSE),"")</f>
        <v>1211</v>
      </c>
      <c r="V105">
        <f>IFERROR(VLOOKUP(V42,Sheet2!$A$1:$B$114,2,FALSE),"")</f>
        <v>1122</v>
      </c>
      <c r="W105" t="str">
        <f>IFERROR(VLOOKUP(W42,Sheet2!$A$1:$B$114,2,FALSE),"")</f>
        <v/>
      </c>
      <c r="X105" t="str">
        <f>IFERROR(VLOOKUP(X42,Sheet2!$A$1:$B$114,2,FALSE),"")</f>
        <v/>
      </c>
      <c r="Y105" t="str">
        <f>IFERROR(VLOOKUP(Y42,Sheet2!$A$1:$B$114,2,FALSE),"")</f>
        <v/>
      </c>
      <c r="Z105" t="str">
        <f>IFERROR(VLOOKUP(Z42,Sheet2!$A$1:$B$114,2,FALSE),"")</f>
        <v/>
      </c>
      <c r="AA105" t="str">
        <f>IFERROR(VLOOKUP(AA42,Sheet2!$A$1:$B$114,2,FALSE),"")</f>
        <v/>
      </c>
      <c r="AB105" t="str">
        <f>IFERROR(VLOOKUP(AB42,Sheet2!$A$1:$B$114,2,FALSE),"")</f>
        <v/>
      </c>
      <c r="AC105" t="str">
        <f>IFERROR(VLOOKUP(AC42,Sheet2!$A$1:$B$114,2,FALSE),"")</f>
        <v/>
      </c>
    </row>
    <row r="106" spans="1:29">
      <c r="A106" s="11" t="s">
        <v>94</v>
      </c>
      <c r="C106">
        <f>IFERROR(VLOOKUP(C43,Sheet2!$A$1:$B$114,2,FALSE),"")</f>
        <v>1211</v>
      </c>
      <c r="D106">
        <f>IFERROR(VLOOKUP(D43,Sheet2!$A$1:$B$114,2,FALSE),"")</f>
        <v>1121</v>
      </c>
      <c r="E106">
        <f>IFERROR(VLOOKUP(E43,Sheet2!$A$1:$B$114,2,FALSE),"")</f>
        <v>1127</v>
      </c>
      <c r="F106">
        <f>IFERROR(VLOOKUP(F43,Sheet2!$A$1:$B$114,2,FALSE),"")</f>
        <v>1126</v>
      </c>
      <c r="G106" t="str">
        <f>IFERROR(VLOOKUP(G43,Sheet2!$A$1:$B$114,2,FALSE),"")</f>
        <v/>
      </c>
      <c r="H106">
        <f>IFERROR(VLOOKUP(H43,Sheet2!$A$1:$B$114,2,FALSE),"")</f>
        <v>1211</v>
      </c>
      <c r="I106">
        <f>IFERROR(VLOOKUP(I43,Sheet2!$A$1:$B$114,2,FALSE),"")</f>
        <v>1121</v>
      </c>
      <c r="J106">
        <f>IFERROR(VLOOKUP(J43,Sheet2!$A$1:$B$114,2,FALSE),"")</f>
        <v>1212</v>
      </c>
      <c r="K106" t="str">
        <f>IFERROR(VLOOKUP(K43,Sheet2!$A$1:$B$114,2,FALSE),"")</f>
        <v/>
      </c>
      <c r="L106">
        <f>IFERROR(VLOOKUP(L43,Sheet2!$A$1:$B$114,2,FALSE),"")</f>
        <v>1121</v>
      </c>
      <c r="M106">
        <f>IFERROR(VLOOKUP(M43,Sheet2!$A$1:$B$114,2,FALSE),"")</f>
        <v>1126</v>
      </c>
      <c r="N106" t="str">
        <f>IFERROR(VLOOKUP(N43,Sheet2!$A$1:$B$114,2,FALSE),"")</f>
        <v/>
      </c>
      <c r="O106">
        <f>IFERROR(VLOOKUP(O43,Sheet2!$A$1:$B$114,2,FALSE),"")</f>
        <v>1121</v>
      </c>
      <c r="P106">
        <f>IFERROR(VLOOKUP(P43,Sheet2!$A$1:$B$114,2,FALSE),"")</f>
        <v>1207</v>
      </c>
      <c r="Q106" t="str">
        <f>IFERROR(VLOOKUP(Q43,Sheet2!$A$1:$B$114,2,FALSE),"")</f>
        <v/>
      </c>
      <c r="R106">
        <f>IFERROR(VLOOKUP(R43,Sheet2!$A$1:$B$114,2,FALSE),"")</f>
        <v>1121</v>
      </c>
      <c r="S106">
        <f>IFERROR(VLOOKUP(S43,Sheet2!$A$1:$B$114,2,FALSE),"")</f>
        <v>1216</v>
      </c>
      <c r="T106" t="str">
        <f>IFERROR(VLOOKUP(T43,Sheet2!$A$1:$B$114,2,FALSE),"")</f>
        <v/>
      </c>
      <c r="U106">
        <f>IFERROR(VLOOKUP(U43,Sheet2!$A$1:$B$114,2,FALSE),"")</f>
        <v>1121</v>
      </c>
      <c r="V106">
        <f>IFERROR(VLOOKUP(V43,Sheet2!$A$1:$B$114,2,FALSE),"")</f>
        <v>1125</v>
      </c>
      <c r="W106" t="str">
        <f>IFERROR(VLOOKUP(W43,Sheet2!$A$1:$B$114,2,FALSE),"")</f>
        <v/>
      </c>
      <c r="X106" t="str">
        <f>IFERROR(VLOOKUP(X43,Sheet2!$A$1:$B$114,2,FALSE),"")</f>
        <v/>
      </c>
      <c r="Y106" t="str">
        <f>IFERROR(VLOOKUP(Y43,Sheet2!$A$1:$B$114,2,FALSE),"")</f>
        <v/>
      </c>
      <c r="Z106" t="str">
        <f>IFERROR(VLOOKUP(Z43,Sheet2!$A$1:$B$114,2,FALSE),"")</f>
        <v/>
      </c>
      <c r="AA106" t="str">
        <f>IFERROR(VLOOKUP(AA43,Sheet2!$A$1:$B$114,2,FALSE),"")</f>
        <v/>
      </c>
      <c r="AB106" t="str">
        <f>IFERROR(VLOOKUP(AB43,Sheet2!$A$1:$B$114,2,FALSE),"")</f>
        <v/>
      </c>
      <c r="AC106" t="str">
        <f>IFERROR(VLOOKUP(AC43,Sheet2!$A$1:$B$114,2,FALSE),"")</f>
        <v/>
      </c>
    </row>
    <row r="107" spans="1:29">
      <c r="A107" s="11" t="s">
        <v>44</v>
      </c>
      <c r="C107">
        <f>IFERROR(VLOOKUP(C44,Sheet2!$A$1:$B$114,2,FALSE),"")</f>
        <v>1214</v>
      </c>
      <c r="D107">
        <f>IFERROR(VLOOKUP(D44,Sheet2!$A$1:$B$114,2,FALSE),"")</f>
        <v>1213</v>
      </c>
      <c r="E107">
        <f>IFERROR(VLOOKUP(E44,Sheet2!$A$1:$B$114,2,FALSE),"")</f>
        <v>1212</v>
      </c>
      <c r="F107">
        <f>IFERROR(VLOOKUP(F44,Sheet2!$A$1:$B$114,2,FALSE),"")</f>
        <v>1215</v>
      </c>
      <c r="G107" t="str">
        <f>IFERROR(VLOOKUP(G44,Sheet2!$A$1:$B$114,2,FALSE),"")</f>
        <v/>
      </c>
      <c r="H107">
        <f>IFERROR(VLOOKUP(H44,Sheet2!$A$1:$B$114,2,FALSE),"")</f>
        <v>1214</v>
      </c>
      <c r="I107">
        <f>IFERROR(VLOOKUP(I44,Sheet2!$A$1:$B$114,2,FALSE),"")</f>
        <v>1213</v>
      </c>
      <c r="J107">
        <f>IFERROR(VLOOKUP(J44,Sheet2!$A$1:$B$114,2,FALSE),"")</f>
        <v>1127</v>
      </c>
      <c r="K107" t="str">
        <f>IFERROR(VLOOKUP(K44,Sheet2!$A$1:$B$114,2,FALSE),"")</f>
        <v/>
      </c>
      <c r="L107">
        <f>IFERROR(VLOOKUP(L44,Sheet2!$A$1:$B$114,2,FALSE),"")</f>
        <v>1214</v>
      </c>
      <c r="M107">
        <f>IFERROR(VLOOKUP(M44,Sheet2!$A$1:$B$114,2,FALSE),"")</f>
        <v>1215</v>
      </c>
      <c r="N107" t="str">
        <f>IFERROR(VLOOKUP(N44,Sheet2!$A$1:$B$114,2,FALSE),"")</f>
        <v/>
      </c>
      <c r="O107">
        <f>IFERROR(VLOOKUP(O44,Sheet2!$A$1:$B$114,2,FALSE),"")</f>
        <v>1214</v>
      </c>
      <c r="P107">
        <f>IFERROR(VLOOKUP(P44,Sheet2!$A$1:$B$114,2,FALSE),"")</f>
        <v>1110</v>
      </c>
      <c r="Q107" t="str">
        <f>IFERROR(VLOOKUP(Q44,Sheet2!$A$1:$B$114,2,FALSE),"")</f>
        <v/>
      </c>
      <c r="R107">
        <f>IFERROR(VLOOKUP(R44,Sheet2!$A$1:$B$114,2,FALSE),"")</f>
        <v>1214</v>
      </c>
      <c r="S107">
        <f>IFERROR(VLOOKUP(S44,Sheet2!$A$1:$B$114,2,FALSE),"")</f>
        <v>1202</v>
      </c>
      <c r="T107" t="str">
        <f>IFERROR(VLOOKUP(T44,Sheet2!$A$1:$B$114,2,FALSE),"")</f>
        <v/>
      </c>
      <c r="U107">
        <f>IFERROR(VLOOKUP(U44,Sheet2!$A$1:$B$114,2,FALSE),"")</f>
        <v>1214</v>
      </c>
      <c r="V107">
        <f>IFERROR(VLOOKUP(V44,Sheet2!$A$1:$B$114,2,FALSE),"")</f>
        <v>1216</v>
      </c>
      <c r="W107" t="str">
        <f>IFERROR(VLOOKUP(W44,Sheet2!$A$1:$B$114,2,FALSE),"")</f>
        <v/>
      </c>
      <c r="X107" t="str">
        <f>IFERROR(VLOOKUP(X44,Sheet2!$A$1:$B$114,2,FALSE),"")</f>
        <v/>
      </c>
      <c r="Y107" t="str">
        <f>IFERROR(VLOOKUP(Y44,Sheet2!$A$1:$B$114,2,FALSE),"")</f>
        <v/>
      </c>
      <c r="Z107" t="str">
        <f>IFERROR(VLOOKUP(Z44,Sheet2!$A$1:$B$114,2,FALSE),"")</f>
        <v/>
      </c>
      <c r="AA107" t="str">
        <f>IFERROR(VLOOKUP(AA44,Sheet2!$A$1:$B$114,2,FALSE),"")</f>
        <v/>
      </c>
      <c r="AB107" t="str">
        <f>IFERROR(VLOOKUP(AB44,Sheet2!$A$1:$B$114,2,FALSE),"")</f>
        <v/>
      </c>
      <c r="AC107" t="str">
        <f>IFERROR(VLOOKUP(AC44,Sheet2!$A$1:$B$114,2,FALSE),"")</f>
        <v/>
      </c>
    </row>
    <row r="108" spans="1:29">
      <c r="A108" s="11" t="s">
        <v>40</v>
      </c>
      <c r="C108">
        <f>IFERROR(VLOOKUP(C45,Sheet2!$A$1:$B$114,2,FALSE),"")</f>
        <v>1214</v>
      </c>
      <c r="D108">
        <f>IFERROR(VLOOKUP(D45,Sheet2!$A$1:$B$114,2,FALSE),"")</f>
        <v>1213</v>
      </c>
      <c r="E108">
        <f>IFERROR(VLOOKUP(E45,Sheet2!$A$1:$B$114,2,FALSE),"")</f>
        <v>1212</v>
      </c>
      <c r="F108">
        <f>IFERROR(VLOOKUP(F45,Sheet2!$A$1:$B$114,2,FALSE),"")</f>
        <v>1215</v>
      </c>
      <c r="G108" t="str">
        <f>IFERROR(VLOOKUP(G45,Sheet2!$A$1:$B$114,2,FALSE),"")</f>
        <v/>
      </c>
      <c r="H108">
        <f>IFERROR(VLOOKUP(H45,Sheet2!$A$1:$B$114,2,FALSE),"")</f>
        <v>1214</v>
      </c>
      <c r="I108">
        <f>IFERROR(VLOOKUP(I45,Sheet2!$A$1:$B$114,2,FALSE),"")</f>
        <v>1213</v>
      </c>
      <c r="J108">
        <f>IFERROR(VLOOKUP(J45,Sheet2!$A$1:$B$114,2,FALSE),"")</f>
        <v>1127</v>
      </c>
      <c r="K108" t="str">
        <f>IFERROR(VLOOKUP(K45,Sheet2!$A$1:$B$114,2,FALSE),"")</f>
        <v/>
      </c>
      <c r="L108">
        <f>IFERROR(VLOOKUP(L45,Sheet2!$A$1:$B$114,2,FALSE),"")</f>
        <v>1213</v>
      </c>
      <c r="M108">
        <f>IFERROR(VLOOKUP(M45,Sheet2!$A$1:$B$114,2,FALSE),"")</f>
        <v>1215</v>
      </c>
      <c r="N108" t="str">
        <f>IFERROR(VLOOKUP(N45,Sheet2!$A$1:$B$114,2,FALSE),"")</f>
        <v/>
      </c>
      <c r="O108">
        <f>IFERROR(VLOOKUP(O45,Sheet2!$A$1:$B$114,2,FALSE),"")</f>
        <v>1213</v>
      </c>
      <c r="P108">
        <f>IFERROR(VLOOKUP(P45,Sheet2!$A$1:$B$114,2,FALSE),"")</f>
        <v>1207</v>
      </c>
      <c r="Q108" t="str">
        <f>IFERROR(VLOOKUP(Q45,Sheet2!$A$1:$B$114,2,FALSE),"")</f>
        <v/>
      </c>
      <c r="R108">
        <f>IFERROR(VLOOKUP(R45,Sheet2!$A$1:$B$114,2,FALSE),"")</f>
        <v>1213</v>
      </c>
      <c r="S108">
        <f>IFERROR(VLOOKUP(S45,Sheet2!$A$1:$B$114,2,FALSE),"")</f>
        <v>1216</v>
      </c>
      <c r="T108" t="str">
        <f>IFERROR(VLOOKUP(T45,Sheet2!$A$1:$B$114,2,FALSE),"")</f>
        <v/>
      </c>
      <c r="U108">
        <f>IFERROR(VLOOKUP(U45,Sheet2!$A$1:$B$114,2,FALSE),"")</f>
        <v>1213</v>
      </c>
      <c r="V108">
        <f>IFERROR(VLOOKUP(V45,Sheet2!$A$1:$B$114,2,FALSE),"")</f>
        <v>1110</v>
      </c>
      <c r="W108" t="str">
        <f>IFERROR(VLOOKUP(W45,Sheet2!$A$1:$B$114,2,FALSE),"")</f>
        <v/>
      </c>
      <c r="X108" t="str">
        <f>IFERROR(VLOOKUP(X45,Sheet2!$A$1:$B$114,2,FALSE),"")</f>
        <v/>
      </c>
      <c r="Y108" t="str">
        <f>IFERROR(VLOOKUP(Y45,Sheet2!$A$1:$B$114,2,FALSE),"")</f>
        <v/>
      </c>
      <c r="Z108" t="str">
        <f>IFERROR(VLOOKUP(Z45,Sheet2!$A$1:$B$114,2,FALSE),"")</f>
        <v/>
      </c>
      <c r="AA108" t="str">
        <f>IFERROR(VLOOKUP(AA45,Sheet2!$A$1:$B$114,2,FALSE),"")</f>
        <v/>
      </c>
      <c r="AB108" t="str">
        <f>IFERROR(VLOOKUP(AB45,Sheet2!$A$1:$B$114,2,FALSE),"")</f>
        <v/>
      </c>
      <c r="AC108" t="str">
        <f>IFERROR(VLOOKUP(AC45,Sheet2!$A$1:$B$114,2,FALSE),"")</f>
        <v/>
      </c>
    </row>
    <row r="109" spans="1:29">
      <c r="A109" s="11" t="s">
        <v>77</v>
      </c>
      <c r="C109">
        <f>IFERROR(VLOOKUP(C46,Sheet2!$A$1:$B$114,2,FALSE),"")</f>
        <v>1211</v>
      </c>
      <c r="D109">
        <f>IFERROR(VLOOKUP(D46,Sheet2!$A$1:$B$114,2,FALSE),"")</f>
        <v>1121</v>
      </c>
      <c r="E109">
        <f>IFERROR(VLOOKUP(E46,Sheet2!$A$1:$B$114,2,FALSE),"")</f>
        <v>1127</v>
      </c>
      <c r="F109">
        <f>IFERROR(VLOOKUP(F46,Sheet2!$A$1:$B$114,2,FALSE),"")</f>
        <v>1126</v>
      </c>
      <c r="G109" t="str">
        <f>IFERROR(VLOOKUP(G46,Sheet2!$A$1:$B$114,2,FALSE),"")</f>
        <v/>
      </c>
      <c r="H109">
        <f>IFERROR(VLOOKUP(H46,Sheet2!$A$1:$B$114,2,FALSE),"")</f>
        <v>1214</v>
      </c>
      <c r="I109">
        <f>IFERROR(VLOOKUP(I46,Sheet2!$A$1:$B$114,2,FALSE),"")</f>
        <v>1213</v>
      </c>
      <c r="J109">
        <f>IFERROR(VLOOKUP(J46,Sheet2!$A$1:$B$114,2,FALSE),"")</f>
        <v>1127</v>
      </c>
      <c r="K109" t="str">
        <f>IFERROR(VLOOKUP(K46,Sheet2!$A$1:$B$114,2,FALSE),"")</f>
        <v/>
      </c>
      <c r="L109">
        <f>IFERROR(VLOOKUP(L46,Sheet2!$A$1:$B$114,2,FALSE),"")</f>
        <v>1127</v>
      </c>
      <c r="M109">
        <f>IFERROR(VLOOKUP(M46,Sheet2!$A$1:$B$114,2,FALSE),"")</f>
        <v>1126</v>
      </c>
      <c r="N109">
        <f>IFERROR(VLOOKUP(N46,Sheet2!$A$1:$B$114,2,FALSE),"")</f>
        <v>1215</v>
      </c>
      <c r="O109" t="str">
        <f>IFERROR(VLOOKUP(O46,Sheet2!$A$1:$B$114,2,FALSE),"")</f>
        <v/>
      </c>
      <c r="P109">
        <f>IFERROR(VLOOKUP(P46,Sheet2!$A$1:$B$114,2,FALSE),"")</f>
        <v>1127</v>
      </c>
      <c r="Q109">
        <f>IFERROR(VLOOKUP(Q46,Sheet2!$A$1:$B$114,2,FALSE),"")</f>
        <v>1122</v>
      </c>
      <c r="R109" t="str">
        <f>IFERROR(VLOOKUP(R46,Sheet2!$A$1:$B$114,2,FALSE),"")</f>
        <v/>
      </c>
      <c r="S109">
        <f>IFERROR(VLOOKUP(S46,Sheet2!$A$1:$B$114,2,FALSE),"")</f>
        <v>1127</v>
      </c>
      <c r="T109">
        <f>IFERROR(VLOOKUP(T46,Sheet2!$A$1:$B$114,2,FALSE),"")</f>
        <v>1125</v>
      </c>
      <c r="U109" t="str">
        <f>IFERROR(VLOOKUP(U46,Sheet2!$A$1:$B$114,2,FALSE),"")</f>
        <v/>
      </c>
      <c r="V109">
        <f>IFERROR(VLOOKUP(V46,Sheet2!$A$1:$B$114,2,FALSE),"")</f>
        <v>1212</v>
      </c>
      <c r="W109">
        <f>IFERROR(VLOOKUP(W46,Sheet2!$A$1:$B$114,2,FALSE),"")</f>
        <v>1127</v>
      </c>
      <c r="X109" t="str">
        <f>IFERROR(VLOOKUP(X46,Sheet2!$A$1:$B$114,2,FALSE),"")</f>
        <v/>
      </c>
      <c r="Y109" t="str">
        <f>IFERROR(VLOOKUP(Y46,Sheet2!$A$1:$B$114,2,FALSE),"")</f>
        <v/>
      </c>
      <c r="Z109" t="str">
        <f>IFERROR(VLOOKUP(Z46,Sheet2!$A$1:$B$114,2,FALSE),"")</f>
        <v/>
      </c>
      <c r="AA109" t="str">
        <f>IFERROR(VLOOKUP(AA46,Sheet2!$A$1:$B$114,2,FALSE),"")</f>
        <v/>
      </c>
      <c r="AB109" t="str">
        <f>IFERROR(VLOOKUP(AB46,Sheet2!$A$1:$B$114,2,FALSE),"")</f>
        <v/>
      </c>
      <c r="AC109" t="str">
        <f>IFERROR(VLOOKUP(AC46,Sheet2!$A$1:$B$114,2,FALSE),"")</f>
        <v/>
      </c>
    </row>
    <row r="110" spans="1:29">
      <c r="A110" s="11" t="s">
        <v>42</v>
      </c>
      <c r="C110">
        <f>IFERROR(VLOOKUP(C47,Sheet2!$A$1:$B$114,2,FALSE),"")</f>
        <v>1214</v>
      </c>
      <c r="D110">
        <f>IFERROR(VLOOKUP(D47,Sheet2!$A$1:$B$114,2,FALSE),"")</f>
        <v>1213</v>
      </c>
      <c r="E110">
        <f>IFERROR(VLOOKUP(E47,Sheet2!$A$1:$B$114,2,FALSE),"")</f>
        <v>1212</v>
      </c>
      <c r="F110">
        <f>IFERROR(VLOOKUP(F47,Sheet2!$A$1:$B$114,2,FALSE),"")</f>
        <v>1215</v>
      </c>
      <c r="G110" t="str">
        <f>IFERROR(VLOOKUP(G47,Sheet2!$A$1:$B$114,2,FALSE),"")</f>
        <v/>
      </c>
      <c r="H110">
        <f>IFERROR(VLOOKUP(H47,Sheet2!$A$1:$B$114,2,FALSE),"")</f>
        <v>1211</v>
      </c>
      <c r="I110">
        <f>IFERROR(VLOOKUP(I47,Sheet2!$A$1:$B$114,2,FALSE),"")</f>
        <v>1121</v>
      </c>
      <c r="J110">
        <f>IFERROR(VLOOKUP(J47,Sheet2!$A$1:$B$114,2,FALSE),"")</f>
        <v>1212</v>
      </c>
      <c r="K110" t="str">
        <f>IFERROR(VLOOKUP(K47,Sheet2!$A$1:$B$114,2,FALSE),"")</f>
        <v/>
      </c>
      <c r="L110">
        <f>IFERROR(VLOOKUP(L47,Sheet2!$A$1:$B$114,2,FALSE),"")</f>
        <v>1212</v>
      </c>
      <c r="M110">
        <f>IFERROR(VLOOKUP(M47,Sheet2!$A$1:$B$114,2,FALSE),"")</f>
        <v>1126</v>
      </c>
      <c r="N110">
        <f>IFERROR(VLOOKUP(N47,Sheet2!$A$1:$B$114,2,FALSE),"")</f>
        <v>1215</v>
      </c>
      <c r="O110" t="str">
        <f>IFERROR(VLOOKUP(O47,Sheet2!$A$1:$B$114,2,FALSE),"")</f>
        <v/>
      </c>
      <c r="P110">
        <f>IFERROR(VLOOKUP(P47,Sheet2!$A$1:$B$114,2,FALSE),"")</f>
        <v>1212</v>
      </c>
      <c r="Q110">
        <f>IFERROR(VLOOKUP(Q47,Sheet2!$A$1:$B$114,2,FALSE),"")</f>
        <v>1122</v>
      </c>
      <c r="R110" t="str">
        <f>IFERROR(VLOOKUP(R47,Sheet2!$A$1:$B$114,2,FALSE),"")</f>
        <v/>
      </c>
      <c r="S110">
        <f>IFERROR(VLOOKUP(S47,Sheet2!$A$1:$B$114,2,FALSE),"")</f>
        <v>1212</v>
      </c>
      <c r="T110">
        <f>IFERROR(VLOOKUP(T47,Sheet2!$A$1:$B$114,2,FALSE),"")</f>
        <v>1125</v>
      </c>
      <c r="U110" t="str">
        <f>IFERROR(VLOOKUP(U47,Sheet2!$A$1:$B$114,2,FALSE),"")</f>
        <v/>
      </c>
      <c r="V110">
        <f>IFERROR(VLOOKUP(V47,Sheet2!$A$1:$B$114,2,FALSE),"")</f>
        <v>1212</v>
      </c>
      <c r="W110">
        <f>IFERROR(VLOOKUP(W47,Sheet2!$A$1:$B$114,2,FALSE),"")</f>
        <v>1127</v>
      </c>
      <c r="X110" t="str">
        <f>IFERROR(VLOOKUP(X47,Sheet2!$A$1:$B$114,2,FALSE),"")</f>
        <v/>
      </c>
      <c r="Y110" t="str">
        <f>IFERROR(VLOOKUP(Y47,Sheet2!$A$1:$B$114,2,FALSE),"")</f>
        <v/>
      </c>
      <c r="Z110" t="str">
        <f>IFERROR(VLOOKUP(Z47,Sheet2!$A$1:$B$114,2,FALSE),"")</f>
        <v/>
      </c>
      <c r="AA110" t="str">
        <f>IFERROR(VLOOKUP(AA47,Sheet2!$A$1:$B$114,2,FALSE),"")</f>
        <v/>
      </c>
      <c r="AB110" t="str">
        <f>IFERROR(VLOOKUP(AB47,Sheet2!$A$1:$B$114,2,FALSE),"")</f>
        <v/>
      </c>
      <c r="AC110" t="str">
        <f>IFERROR(VLOOKUP(AC47,Sheet2!$A$1:$B$114,2,FALSE),"")</f>
        <v/>
      </c>
    </row>
    <row r="111" spans="1:29">
      <c r="A111" s="26" t="s">
        <v>86</v>
      </c>
      <c r="C111">
        <f>IFERROR(VLOOKUP(C48,Sheet2!$A$1:$B$114,2,FALSE),"")</f>
        <v>1211</v>
      </c>
      <c r="D111">
        <f>IFERROR(VLOOKUP(D48,Sheet2!$A$1:$B$114,2,FALSE),"")</f>
        <v>1121</v>
      </c>
      <c r="E111">
        <f>IFERROR(VLOOKUP(E48,Sheet2!$A$1:$B$114,2,FALSE),"")</f>
        <v>1127</v>
      </c>
      <c r="F111">
        <f>IFERROR(VLOOKUP(F48,Sheet2!$A$1:$B$114,2,FALSE),"")</f>
        <v>1126</v>
      </c>
      <c r="G111" t="str">
        <f>IFERROR(VLOOKUP(G48,Sheet2!$A$1:$B$114,2,FALSE),"")</f>
        <v/>
      </c>
      <c r="H111">
        <f>IFERROR(VLOOKUP(H48,Sheet2!$A$1:$B$114,2,FALSE),"")</f>
        <v>1212</v>
      </c>
      <c r="I111">
        <f>IFERROR(VLOOKUP(I48,Sheet2!$A$1:$B$114,2,FALSE),"")</f>
        <v>1126</v>
      </c>
      <c r="J111">
        <f>IFERROR(VLOOKUP(J48,Sheet2!$A$1:$B$114,2,FALSE),"")</f>
        <v>1215</v>
      </c>
      <c r="K111" t="str">
        <f>IFERROR(VLOOKUP(K48,Sheet2!$A$1:$B$114,2,FALSE),"")</f>
        <v/>
      </c>
      <c r="L111">
        <f>IFERROR(VLOOKUP(L48,Sheet2!$A$1:$B$114,2,FALSE),"")</f>
        <v>1127</v>
      </c>
      <c r="M111">
        <f>IFERROR(VLOOKUP(M48,Sheet2!$A$1:$B$114,2,FALSE),"")</f>
        <v>1126</v>
      </c>
      <c r="N111">
        <f>IFERROR(VLOOKUP(N48,Sheet2!$A$1:$B$114,2,FALSE),"")</f>
        <v>1215</v>
      </c>
      <c r="O111" t="str">
        <f>IFERROR(VLOOKUP(O48,Sheet2!$A$1:$B$114,2,FALSE),"")</f>
        <v/>
      </c>
      <c r="P111">
        <f>IFERROR(VLOOKUP(P48,Sheet2!$A$1:$B$114,2,FALSE),"")</f>
        <v>1211</v>
      </c>
      <c r="Q111">
        <f>IFERROR(VLOOKUP(Q48,Sheet2!$A$1:$B$114,2,FALSE),"")</f>
        <v>1126</v>
      </c>
      <c r="R111" t="str">
        <f>IFERROR(VLOOKUP(R48,Sheet2!$A$1:$B$114,2,FALSE),"")</f>
        <v/>
      </c>
      <c r="S111">
        <f>IFERROR(VLOOKUP(S48,Sheet2!$A$1:$B$114,2,FALSE),"")</f>
        <v>1121</v>
      </c>
      <c r="T111">
        <f>IFERROR(VLOOKUP(T48,Sheet2!$A$1:$B$114,2,FALSE),"")</f>
        <v>1126</v>
      </c>
      <c r="U111" t="str">
        <f>IFERROR(VLOOKUP(U48,Sheet2!$A$1:$B$114,2,FALSE),"")</f>
        <v/>
      </c>
      <c r="V111" t="str">
        <f>IFERROR(VLOOKUP(V48,Sheet2!$A$1:$B$114,2,FALSE),"")</f>
        <v/>
      </c>
      <c r="W111" t="str">
        <f>IFERROR(VLOOKUP(W48,Sheet2!$A$1:$B$114,2,FALSE),"")</f>
        <v/>
      </c>
      <c r="X111" t="str">
        <f>IFERROR(VLOOKUP(X48,Sheet2!$A$1:$B$114,2,FALSE),"")</f>
        <v/>
      </c>
      <c r="Y111" t="str">
        <f>IFERROR(VLOOKUP(Y48,Sheet2!$A$1:$B$114,2,FALSE),"")</f>
        <v/>
      </c>
      <c r="Z111" t="str">
        <f>IFERROR(VLOOKUP(Z48,Sheet2!$A$1:$B$114,2,FALSE),"")</f>
        <v/>
      </c>
      <c r="AA111" t="str">
        <f>IFERROR(VLOOKUP(AA48,Sheet2!$A$1:$B$114,2,FALSE),"")</f>
        <v/>
      </c>
      <c r="AB111" t="str">
        <f>IFERROR(VLOOKUP(AB48,Sheet2!$A$1:$B$114,2,FALSE),"")</f>
        <v/>
      </c>
      <c r="AC111" t="str">
        <f>IFERROR(VLOOKUP(AC48,Sheet2!$A$1:$B$114,2,FALSE),"")</f>
        <v/>
      </c>
    </row>
    <row r="112" spans="1:29">
      <c r="A112" s="26" t="s">
        <v>78</v>
      </c>
      <c r="C112">
        <f>IFERROR(VLOOKUP(C49,Sheet2!$A$1:$B$114,2,FALSE),"")</f>
        <v>1214</v>
      </c>
      <c r="D112">
        <f>IFERROR(VLOOKUP(D49,Sheet2!$A$1:$B$114,2,FALSE),"")</f>
        <v>1213</v>
      </c>
      <c r="E112">
        <f>IFERROR(VLOOKUP(E49,Sheet2!$A$1:$B$114,2,FALSE),"")</f>
        <v>1212</v>
      </c>
      <c r="F112">
        <f>IFERROR(VLOOKUP(F49,Sheet2!$A$1:$B$114,2,FALSE),"")</f>
        <v>1215</v>
      </c>
      <c r="G112" t="str">
        <f>IFERROR(VLOOKUP(G49,Sheet2!$A$1:$B$114,2,FALSE),"")</f>
        <v/>
      </c>
      <c r="H112">
        <f>IFERROR(VLOOKUP(H49,Sheet2!$A$1:$B$114,2,FALSE),"")</f>
        <v>1212</v>
      </c>
      <c r="I112">
        <f>IFERROR(VLOOKUP(I49,Sheet2!$A$1:$B$114,2,FALSE),"")</f>
        <v>1126</v>
      </c>
      <c r="J112">
        <f>IFERROR(VLOOKUP(J49,Sheet2!$A$1:$B$114,2,FALSE),"")</f>
        <v>1215</v>
      </c>
      <c r="K112" t="str">
        <f>IFERROR(VLOOKUP(K49,Sheet2!$A$1:$B$114,2,FALSE),"")</f>
        <v/>
      </c>
      <c r="L112">
        <f>IFERROR(VLOOKUP(L49,Sheet2!$A$1:$B$114,2,FALSE),"")</f>
        <v>1127</v>
      </c>
      <c r="M112">
        <f>IFERROR(VLOOKUP(M49,Sheet2!$A$1:$B$114,2,FALSE),"")</f>
        <v>1126</v>
      </c>
      <c r="N112">
        <f>IFERROR(VLOOKUP(N49,Sheet2!$A$1:$B$114,2,FALSE),"")</f>
        <v>1215</v>
      </c>
      <c r="O112" t="str">
        <f>IFERROR(VLOOKUP(O49,Sheet2!$A$1:$B$114,2,FALSE),"")</f>
        <v/>
      </c>
      <c r="P112">
        <f>IFERROR(VLOOKUP(P49,Sheet2!$A$1:$B$114,2,FALSE),"")</f>
        <v>1214</v>
      </c>
      <c r="Q112">
        <f>IFERROR(VLOOKUP(Q49,Sheet2!$A$1:$B$114,2,FALSE),"")</f>
        <v>1215</v>
      </c>
      <c r="R112" t="str">
        <f>IFERROR(VLOOKUP(R49,Sheet2!$A$1:$B$114,2,FALSE),"")</f>
        <v/>
      </c>
      <c r="S112">
        <f>IFERROR(VLOOKUP(S49,Sheet2!$A$1:$B$114,2,FALSE),"")</f>
        <v>1213</v>
      </c>
      <c r="T112">
        <f>IFERROR(VLOOKUP(T49,Sheet2!$A$1:$B$114,2,FALSE),"")</f>
        <v>1215</v>
      </c>
      <c r="U112" t="str">
        <f>IFERROR(VLOOKUP(U49,Sheet2!$A$1:$B$114,2,FALSE),"")</f>
        <v/>
      </c>
      <c r="V112" t="str">
        <f>IFERROR(VLOOKUP(V49,Sheet2!$A$1:$B$114,2,FALSE),"")</f>
        <v/>
      </c>
      <c r="W112" t="str">
        <f>IFERROR(VLOOKUP(W49,Sheet2!$A$1:$B$114,2,FALSE),"")</f>
        <v/>
      </c>
      <c r="X112" t="str">
        <f>IFERROR(VLOOKUP(X49,Sheet2!$A$1:$B$114,2,FALSE),"")</f>
        <v/>
      </c>
      <c r="Y112" t="str">
        <f>IFERROR(VLOOKUP(Y49,Sheet2!$A$1:$B$114,2,FALSE),"")</f>
        <v/>
      </c>
      <c r="Z112" t="str">
        <f>IFERROR(VLOOKUP(Z49,Sheet2!$A$1:$B$114,2,FALSE),"")</f>
        <v/>
      </c>
      <c r="AA112" t="str">
        <f>IFERROR(VLOOKUP(AA49,Sheet2!$A$1:$B$114,2,FALSE),"")</f>
        <v/>
      </c>
      <c r="AB112" t="str">
        <f>IFERROR(VLOOKUP(AB49,Sheet2!$A$1:$B$114,2,FALSE),"")</f>
        <v/>
      </c>
      <c r="AC112" t="str">
        <f>IFERROR(VLOOKUP(AC49,Sheet2!$A$1:$B$114,2,FALSE),"")</f>
        <v/>
      </c>
    </row>
    <row r="113" spans="1:29">
      <c r="A113" s="26" t="s">
        <v>8</v>
      </c>
      <c r="C113">
        <f>IFERROR(VLOOKUP(C50,Sheet2!$A$1:$B$114,2,FALSE),"")</f>
        <v>1122</v>
      </c>
      <c r="D113">
        <f>IFERROR(VLOOKUP(D50,Sheet2!$A$1:$B$114,2,FALSE),"")</f>
        <v>1125</v>
      </c>
      <c r="E113">
        <f>IFERROR(VLOOKUP(E50,Sheet2!$A$1:$B$114,2,FALSE),"")</f>
        <v>1216</v>
      </c>
      <c r="F113" t="str">
        <f>IFERROR(VLOOKUP(F50,Sheet2!$A$1:$B$114,2,FALSE),"")</f>
        <v/>
      </c>
      <c r="G113">
        <f>IFERROR(VLOOKUP(G50,Sheet2!$A$1:$B$114,2,FALSE),"")</f>
        <v>1122</v>
      </c>
      <c r="H113">
        <f>IFERROR(VLOOKUP(H50,Sheet2!$A$1:$B$114,2,FALSE),"")</f>
        <v>1207</v>
      </c>
      <c r="I113">
        <f>IFERROR(VLOOKUP(I50,Sheet2!$A$1:$B$114,2,FALSE),"")</f>
        <v>1202</v>
      </c>
      <c r="J113" t="str">
        <f>IFERROR(VLOOKUP(J50,Sheet2!$A$1:$B$114,2,FALSE),"")</f>
        <v/>
      </c>
      <c r="K113">
        <f>IFERROR(VLOOKUP(K50,Sheet2!$A$1:$B$114,2,FALSE),"")</f>
        <v>1212</v>
      </c>
      <c r="L113">
        <f>IFERROR(VLOOKUP(L50,Sheet2!$A$1:$B$114,2,FALSE),"")</f>
        <v>1122</v>
      </c>
      <c r="M113" t="str">
        <f>IFERROR(VLOOKUP(M50,Sheet2!$A$1:$B$114,2,FALSE),"")</f>
        <v/>
      </c>
      <c r="N113">
        <f>IFERROR(VLOOKUP(N50,Sheet2!$A$1:$B$114,2,FALSE),"")</f>
        <v>1127</v>
      </c>
      <c r="O113">
        <f>IFERROR(VLOOKUP(O50,Sheet2!$A$1:$B$114,2,FALSE),"")</f>
        <v>1122</v>
      </c>
      <c r="P113" t="str">
        <f>IFERROR(VLOOKUP(P50,Sheet2!$A$1:$B$114,2,FALSE),"")</f>
        <v/>
      </c>
      <c r="Q113">
        <f>IFERROR(VLOOKUP(Q50,Sheet2!$A$1:$B$114,2,FALSE),"")</f>
        <v>1211</v>
      </c>
      <c r="R113">
        <f>IFERROR(VLOOKUP(R50,Sheet2!$A$1:$B$114,2,FALSE),"")</f>
        <v>1122</v>
      </c>
      <c r="S113" t="str">
        <f>IFERROR(VLOOKUP(S50,Sheet2!$A$1:$B$114,2,FALSE),"")</f>
        <v/>
      </c>
      <c r="T113" t="str">
        <f>IFERROR(VLOOKUP(T50,Sheet2!$A$1:$B$114,2,FALSE),"")</f>
        <v/>
      </c>
      <c r="U113" t="str">
        <f>IFERROR(VLOOKUP(U50,Sheet2!$A$1:$B$114,2,FALSE),"")</f>
        <v/>
      </c>
      <c r="V113" t="str">
        <f>IFERROR(VLOOKUP(V50,Sheet2!$A$1:$B$114,2,FALSE),"")</f>
        <v/>
      </c>
      <c r="W113" t="str">
        <f>IFERROR(VLOOKUP(W50,Sheet2!$A$1:$B$114,2,FALSE),"")</f>
        <v/>
      </c>
      <c r="X113" t="str">
        <f>IFERROR(VLOOKUP(X50,Sheet2!$A$1:$B$114,2,FALSE),"")</f>
        <v/>
      </c>
      <c r="Y113" t="str">
        <f>IFERROR(VLOOKUP(Y50,Sheet2!$A$1:$B$114,2,FALSE),"")</f>
        <v/>
      </c>
      <c r="Z113" t="str">
        <f>IFERROR(VLOOKUP(Z50,Sheet2!$A$1:$B$114,2,FALSE),"")</f>
        <v/>
      </c>
      <c r="AA113" t="str">
        <f>IFERROR(VLOOKUP(AA50,Sheet2!$A$1:$B$114,2,FALSE),"")</f>
        <v/>
      </c>
      <c r="AB113" t="str">
        <f>IFERROR(VLOOKUP(AB50,Sheet2!$A$1:$B$114,2,FALSE),"")</f>
        <v/>
      </c>
      <c r="AC113" t="str">
        <f>IFERROR(VLOOKUP(AC50,Sheet2!$A$1:$B$114,2,FALSE),"")</f>
        <v/>
      </c>
    </row>
    <row r="114" spans="1:29">
      <c r="A114" s="26" t="s">
        <v>50</v>
      </c>
      <c r="C114">
        <f>IFERROR(VLOOKUP(C51,Sheet2!$A$1:$B$114,2,FALSE),"")</f>
        <v>1110</v>
      </c>
      <c r="D114">
        <f>IFERROR(VLOOKUP(D51,Sheet2!$A$1:$B$114,2,FALSE),"")</f>
        <v>1207</v>
      </c>
      <c r="E114">
        <f>IFERROR(VLOOKUP(E51,Sheet2!$A$1:$B$114,2,FALSE),"")</f>
        <v>1216</v>
      </c>
      <c r="F114" t="str">
        <f>IFERROR(VLOOKUP(F51,Sheet2!$A$1:$B$114,2,FALSE),"")</f>
        <v/>
      </c>
      <c r="G114">
        <f>IFERROR(VLOOKUP(G51,Sheet2!$A$1:$B$114,2,FALSE),"")</f>
        <v>1125</v>
      </c>
      <c r="H114">
        <f>IFERROR(VLOOKUP(H51,Sheet2!$A$1:$B$114,2,FALSE),"")</f>
        <v>1202</v>
      </c>
      <c r="I114">
        <f>IFERROR(VLOOKUP(I51,Sheet2!$A$1:$B$114,2,FALSE),"")</f>
        <v>1110</v>
      </c>
      <c r="J114" t="str">
        <f>IFERROR(VLOOKUP(J51,Sheet2!$A$1:$B$114,2,FALSE),"")</f>
        <v/>
      </c>
      <c r="K114">
        <f>IFERROR(VLOOKUP(K51,Sheet2!$A$1:$B$114,2,FALSE),"")</f>
        <v>1211</v>
      </c>
      <c r="L114">
        <f>IFERROR(VLOOKUP(L51,Sheet2!$A$1:$B$114,2,FALSE),"")</f>
        <v>1110</v>
      </c>
      <c r="M114" t="str">
        <f>IFERROR(VLOOKUP(M51,Sheet2!$A$1:$B$114,2,FALSE),"")</f>
        <v/>
      </c>
      <c r="N114">
        <f>IFERROR(VLOOKUP(N51,Sheet2!$A$1:$B$114,2,FALSE),"")</f>
        <v>1214</v>
      </c>
      <c r="O114">
        <f>IFERROR(VLOOKUP(O51,Sheet2!$A$1:$B$114,2,FALSE),"")</f>
        <v>1110</v>
      </c>
      <c r="P114" t="str">
        <f>IFERROR(VLOOKUP(P51,Sheet2!$A$1:$B$114,2,FALSE),"")</f>
        <v/>
      </c>
      <c r="Q114">
        <f>IFERROR(VLOOKUP(Q51,Sheet2!$A$1:$B$114,2,FALSE),"")</f>
        <v>1213</v>
      </c>
      <c r="R114">
        <f>IFERROR(VLOOKUP(R51,Sheet2!$A$1:$B$114,2,FALSE),"")</f>
        <v>1110</v>
      </c>
      <c r="S114" t="str">
        <f>IFERROR(VLOOKUP(S51,Sheet2!$A$1:$B$114,2,FALSE),"")</f>
        <v/>
      </c>
      <c r="T114" t="str">
        <f>IFERROR(VLOOKUP(T51,Sheet2!$A$1:$B$114,2,FALSE),"")</f>
        <v/>
      </c>
      <c r="U114" t="str">
        <f>IFERROR(VLOOKUP(U51,Sheet2!$A$1:$B$114,2,FALSE),"")</f>
        <v/>
      </c>
      <c r="V114" t="str">
        <f>IFERROR(VLOOKUP(V51,Sheet2!$A$1:$B$114,2,FALSE),"")</f>
        <v/>
      </c>
      <c r="W114" t="str">
        <f>IFERROR(VLOOKUP(W51,Sheet2!$A$1:$B$114,2,FALSE),"")</f>
        <v/>
      </c>
      <c r="X114" t="str">
        <f>IFERROR(VLOOKUP(X51,Sheet2!$A$1:$B$114,2,FALSE),"")</f>
        <v/>
      </c>
      <c r="Y114" t="str">
        <f>IFERROR(VLOOKUP(Y51,Sheet2!$A$1:$B$114,2,FALSE),"")</f>
        <v/>
      </c>
      <c r="Z114" t="str">
        <f>IFERROR(VLOOKUP(Z51,Sheet2!$A$1:$B$114,2,FALSE),"")</f>
        <v/>
      </c>
      <c r="AA114" t="str">
        <f>IFERROR(VLOOKUP(AA51,Sheet2!$A$1:$B$114,2,FALSE),"")</f>
        <v/>
      </c>
      <c r="AB114" t="str">
        <f>IFERROR(VLOOKUP(AB51,Sheet2!$A$1:$B$114,2,FALSE),"")</f>
        <v/>
      </c>
      <c r="AC114" t="str">
        <f>IFERROR(VLOOKUP(AC51,Sheet2!$A$1:$B$114,2,FALSE),"")</f>
        <v/>
      </c>
    </row>
    <row r="115" spans="1:29">
      <c r="A115" s="26" t="s">
        <v>25</v>
      </c>
      <c r="C115">
        <f>IFERROR(VLOOKUP(C52,Sheet2!$A$1:$B$114,2,FALSE),"")</f>
        <v>1122</v>
      </c>
      <c r="D115">
        <f>IFERROR(VLOOKUP(D52,Sheet2!$A$1:$B$114,2,FALSE),"")</f>
        <v>1125</v>
      </c>
      <c r="E115">
        <f>IFERROR(VLOOKUP(E52,Sheet2!$A$1:$B$114,2,FALSE),"")</f>
        <v>1216</v>
      </c>
      <c r="F115" t="str">
        <f>IFERROR(VLOOKUP(F52,Sheet2!$A$1:$B$114,2,FALSE),"")</f>
        <v/>
      </c>
      <c r="G115">
        <f>IFERROR(VLOOKUP(G52,Sheet2!$A$1:$B$114,2,FALSE),"")</f>
        <v>1125</v>
      </c>
      <c r="H115">
        <f>IFERROR(VLOOKUP(H52,Sheet2!$A$1:$B$114,2,FALSE),"")</f>
        <v>1202</v>
      </c>
      <c r="I115">
        <f>IFERROR(VLOOKUP(I52,Sheet2!$A$1:$B$114,2,FALSE),"")</f>
        <v>1110</v>
      </c>
      <c r="J115" t="str">
        <f>IFERROR(VLOOKUP(J52,Sheet2!$A$1:$B$114,2,FALSE),"")</f>
        <v/>
      </c>
      <c r="K115">
        <f>IFERROR(VLOOKUP(K52,Sheet2!$A$1:$B$114,2,FALSE),"")</f>
        <v>1212</v>
      </c>
      <c r="L115">
        <f>IFERROR(VLOOKUP(L52,Sheet2!$A$1:$B$114,2,FALSE),"")</f>
        <v>1125</v>
      </c>
      <c r="M115" t="str">
        <f>IFERROR(VLOOKUP(M52,Sheet2!$A$1:$B$114,2,FALSE),"")</f>
        <v/>
      </c>
      <c r="N115">
        <f>IFERROR(VLOOKUP(N52,Sheet2!$A$1:$B$114,2,FALSE),"")</f>
        <v>1127</v>
      </c>
      <c r="O115">
        <f>IFERROR(VLOOKUP(O52,Sheet2!$A$1:$B$114,2,FALSE),"")</f>
        <v>1125</v>
      </c>
      <c r="P115" t="str">
        <f>IFERROR(VLOOKUP(P52,Sheet2!$A$1:$B$114,2,FALSE),"")</f>
        <v/>
      </c>
      <c r="Q115">
        <f>IFERROR(VLOOKUP(Q52,Sheet2!$A$1:$B$114,2,FALSE),"")</f>
        <v>1121</v>
      </c>
      <c r="R115">
        <f>IFERROR(VLOOKUP(R52,Sheet2!$A$1:$B$114,2,FALSE),"")</f>
        <v>1125</v>
      </c>
      <c r="S115" t="str">
        <f>IFERROR(VLOOKUP(S52,Sheet2!$A$1:$B$114,2,FALSE),"")</f>
        <v/>
      </c>
      <c r="T115" t="str">
        <f>IFERROR(VLOOKUP(T52,Sheet2!$A$1:$B$114,2,FALSE),"")</f>
        <v/>
      </c>
      <c r="U115" t="str">
        <f>IFERROR(VLOOKUP(U52,Sheet2!$A$1:$B$114,2,FALSE),"")</f>
        <v/>
      </c>
      <c r="V115" t="str">
        <f>IFERROR(VLOOKUP(V52,Sheet2!$A$1:$B$114,2,FALSE),"")</f>
        <v/>
      </c>
      <c r="W115" t="str">
        <f>IFERROR(VLOOKUP(W52,Sheet2!$A$1:$B$114,2,FALSE),"")</f>
        <v/>
      </c>
      <c r="X115" t="str">
        <f>IFERROR(VLOOKUP(X52,Sheet2!$A$1:$B$114,2,FALSE),"")</f>
        <v/>
      </c>
      <c r="Y115" t="str">
        <f>IFERROR(VLOOKUP(Y52,Sheet2!$A$1:$B$114,2,FALSE),"")</f>
        <v/>
      </c>
      <c r="Z115" t="str">
        <f>IFERROR(VLOOKUP(Z52,Sheet2!$A$1:$B$114,2,FALSE),"")</f>
        <v/>
      </c>
      <c r="AA115" t="str">
        <f>IFERROR(VLOOKUP(AA52,Sheet2!$A$1:$B$114,2,FALSE),"")</f>
        <v/>
      </c>
      <c r="AB115" t="str">
        <f>IFERROR(VLOOKUP(AB52,Sheet2!$A$1:$B$114,2,FALSE),"")</f>
        <v/>
      </c>
      <c r="AC115" t="str">
        <f>IFERROR(VLOOKUP(AC52,Sheet2!$A$1:$B$114,2,FALSE),"")</f>
        <v/>
      </c>
    </row>
    <row r="116" spans="1:29">
      <c r="A116" s="26" t="s">
        <v>21</v>
      </c>
      <c r="C116">
        <f>IFERROR(VLOOKUP(C53,Sheet2!$A$1:$B$114,2,FALSE),"")</f>
        <v>1110</v>
      </c>
      <c r="D116">
        <f>IFERROR(VLOOKUP(D53,Sheet2!$A$1:$B$114,2,FALSE),"")</f>
        <v>1207</v>
      </c>
      <c r="E116">
        <f>IFERROR(VLOOKUP(E53,Sheet2!$A$1:$B$114,2,FALSE),"")</f>
        <v>1216</v>
      </c>
      <c r="F116" t="str">
        <f>IFERROR(VLOOKUP(F53,Sheet2!$A$1:$B$114,2,FALSE),"")</f>
        <v/>
      </c>
      <c r="G116">
        <f>IFERROR(VLOOKUP(G53,Sheet2!$A$1:$B$114,2,FALSE),"")</f>
        <v>1122</v>
      </c>
      <c r="H116">
        <f>IFERROR(VLOOKUP(H53,Sheet2!$A$1:$B$114,2,FALSE),"")</f>
        <v>1207</v>
      </c>
      <c r="I116">
        <f>IFERROR(VLOOKUP(I53,Sheet2!$A$1:$B$114,2,FALSE),"")</f>
        <v>1202</v>
      </c>
      <c r="J116" t="str">
        <f>IFERROR(VLOOKUP(J53,Sheet2!$A$1:$B$114,2,FALSE),"")</f>
        <v/>
      </c>
      <c r="K116">
        <f>IFERROR(VLOOKUP(K53,Sheet2!$A$1:$B$114,2,FALSE),"")</f>
        <v>1121</v>
      </c>
      <c r="L116">
        <f>IFERROR(VLOOKUP(L53,Sheet2!$A$1:$B$114,2,FALSE),"")</f>
        <v>1207</v>
      </c>
      <c r="M116" t="str">
        <f>IFERROR(VLOOKUP(M53,Sheet2!$A$1:$B$114,2,FALSE),"")</f>
        <v/>
      </c>
      <c r="N116">
        <f>IFERROR(VLOOKUP(N53,Sheet2!$A$1:$B$114,2,FALSE),"")</f>
        <v>1213</v>
      </c>
      <c r="O116">
        <f>IFERROR(VLOOKUP(O53,Sheet2!$A$1:$B$114,2,FALSE),"")</f>
        <v>1207</v>
      </c>
      <c r="P116" t="str">
        <f>IFERROR(VLOOKUP(P53,Sheet2!$A$1:$B$114,2,FALSE),"")</f>
        <v/>
      </c>
      <c r="Q116">
        <f>IFERROR(VLOOKUP(Q53,Sheet2!$A$1:$B$114,2,FALSE),"")</f>
        <v>1207</v>
      </c>
      <c r="R116">
        <f>IFERROR(VLOOKUP(R53,Sheet2!$A$1:$B$114,2,FALSE),"")</f>
        <v>1202</v>
      </c>
      <c r="S116" t="str">
        <f>IFERROR(VLOOKUP(S53,Sheet2!$A$1:$B$114,2,FALSE),"")</f>
        <v/>
      </c>
      <c r="T116" t="str">
        <f>IFERROR(VLOOKUP(T53,Sheet2!$A$1:$B$114,2,FALSE),"")</f>
        <v/>
      </c>
      <c r="U116" t="str">
        <f>IFERROR(VLOOKUP(U53,Sheet2!$A$1:$B$114,2,FALSE),"")</f>
        <v/>
      </c>
      <c r="V116" t="str">
        <f>IFERROR(VLOOKUP(V53,Sheet2!$A$1:$B$114,2,FALSE),"")</f>
        <v/>
      </c>
      <c r="W116" t="str">
        <f>IFERROR(VLOOKUP(W53,Sheet2!$A$1:$B$114,2,FALSE),"")</f>
        <v/>
      </c>
      <c r="X116" t="str">
        <f>IFERROR(VLOOKUP(X53,Sheet2!$A$1:$B$114,2,FALSE),"")</f>
        <v/>
      </c>
      <c r="Y116" t="str">
        <f>IFERROR(VLOOKUP(Y53,Sheet2!$A$1:$B$114,2,FALSE),"")</f>
        <v/>
      </c>
      <c r="Z116" t="str">
        <f>IFERROR(VLOOKUP(Z53,Sheet2!$A$1:$B$114,2,FALSE),"")</f>
        <v/>
      </c>
      <c r="AA116" t="str">
        <f>IFERROR(VLOOKUP(AA53,Sheet2!$A$1:$B$114,2,FALSE),"")</f>
        <v/>
      </c>
      <c r="AB116" t="str">
        <f>IFERROR(VLOOKUP(AB53,Sheet2!$A$1:$B$114,2,FALSE),"")</f>
        <v/>
      </c>
      <c r="AC116" t="str">
        <f>IFERROR(VLOOKUP(AC53,Sheet2!$A$1:$B$114,2,FALSE),"")</f>
        <v/>
      </c>
    </row>
    <row r="117" spans="1:29">
      <c r="A117" s="26" t="s">
        <v>85</v>
      </c>
      <c r="C117">
        <f>IFERROR(VLOOKUP(C54,Sheet2!$A$1:$B$114,2,FALSE),"")</f>
        <v>1125</v>
      </c>
      <c r="D117">
        <f>IFERROR(VLOOKUP(D54,Sheet2!$A$1:$B$114,2,FALSE),"")</f>
        <v>1202</v>
      </c>
      <c r="E117">
        <f>IFERROR(VLOOKUP(E54,Sheet2!$A$1:$B$114,2,FALSE),"")</f>
        <v>1110</v>
      </c>
      <c r="F117" t="str">
        <f>IFERROR(VLOOKUP(F54,Sheet2!$A$1:$B$114,2,FALSE),"")</f>
        <v/>
      </c>
      <c r="G117">
        <f>IFERROR(VLOOKUP(G54,Sheet2!$A$1:$B$114,2,FALSE),"")</f>
        <v>1122</v>
      </c>
      <c r="H117">
        <f>IFERROR(VLOOKUP(H54,Sheet2!$A$1:$B$114,2,FALSE),"")</f>
        <v>1207</v>
      </c>
      <c r="I117">
        <f>IFERROR(VLOOKUP(I54,Sheet2!$A$1:$B$114,2,FALSE),"")</f>
        <v>1202</v>
      </c>
      <c r="J117" t="str">
        <f>IFERROR(VLOOKUP(J54,Sheet2!$A$1:$B$114,2,FALSE),"")</f>
        <v/>
      </c>
      <c r="K117">
        <f>IFERROR(VLOOKUP(K54,Sheet2!$A$1:$B$114,2,FALSE),"")</f>
        <v>1211</v>
      </c>
      <c r="L117">
        <f>IFERROR(VLOOKUP(L54,Sheet2!$A$1:$B$114,2,FALSE),"")</f>
        <v>1202</v>
      </c>
      <c r="M117" t="str">
        <f>IFERROR(VLOOKUP(M54,Sheet2!$A$1:$B$114,2,FALSE),"")</f>
        <v/>
      </c>
      <c r="N117">
        <f>IFERROR(VLOOKUP(N54,Sheet2!$A$1:$B$114,2,FALSE),"")</f>
        <v>1214</v>
      </c>
      <c r="O117">
        <f>IFERROR(VLOOKUP(O54,Sheet2!$A$1:$B$114,2,FALSE),"")</f>
        <v>1202</v>
      </c>
      <c r="P117" t="str">
        <f>IFERROR(VLOOKUP(P54,Sheet2!$A$1:$B$114,2,FALSE),"")</f>
        <v/>
      </c>
      <c r="Q117">
        <f>IFERROR(VLOOKUP(Q54,Sheet2!$A$1:$B$114,2,FALSE),"")</f>
        <v>1207</v>
      </c>
      <c r="R117">
        <f>IFERROR(VLOOKUP(R54,Sheet2!$A$1:$B$114,2,FALSE),"")</f>
        <v>1202</v>
      </c>
      <c r="S117" t="str">
        <f>IFERROR(VLOOKUP(S54,Sheet2!$A$1:$B$114,2,FALSE),"")</f>
        <v/>
      </c>
      <c r="T117" t="str">
        <f>IFERROR(VLOOKUP(T54,Sheet2!$A$1:$B$114,2,FALSE),"")</f>
        <v/>
      </c>
      <c r="U117" t="str">
        <f>IFERROR(VLOOKUP(U54,Sheet2!$A$1:$B$114,2,FALSE),"")</f>
        <v/>
      </c>
      <c r="V117" t="str">
        <f>IFERROR(VLOOKUP(V54,Sheet2!$A$1:$B$114,2,FALSE),"")</f>
        <v/>
      </c>
      <c r="W117" t="str">
        <f>IFERROR(VLOOKUP(W54,Sheet2!$A$1:$B$114,2,FALSE),"")</f>
        <v/>
      </c>
      <c r="X117" t="str">
        <f>IFERROR(VLOOKUP(X54,Sheet2!$A$1:$B$114,2,FALSE),"")</f>
        <v/>
      </c>
      <c r="Y117" t="str">
        <f>IFERROR(VLOOKUP(Y54,Sheet2!$A$1:$B$114,2,FALSE),"")</f>
        <v/>
      </c>
      <c r="Z117" t="str">
        <f>IFERROR(VLOOKUP(Z54,Sheet2!$A$1:$B$114,2,FALSE),"")</f>
        <v/>
      </c>
      <c r="AA117" t="str">
        <f>IFERROR(VLOOKUP(AA54,Sheet2!$A$1:$B$114,2,FALSE),"")</f>
        <v/>
      </c>
      <c r="AB117" t="str">
        <f>IFERROR(VLOOKUP(AB54,Sheet2!$A$1:$B$114,2,FALSE),"")</f>
        <v/>
      </c>
      <c r="AC117" t="str">
        <f>IFERROR(VLOOKUP(AC54,Sheet2!$A$1:$B$114,2,FALSE),"")</f>
        <v/>
      </c>
    </row>
    <row r="118" spans="1:29">
      <c r="A118" s="26" t="s">
        <v>162</v>
      </c>
      <c r="C118">
        <f>IFERROR(VLOOKUP(C55,Sheet2!$A$1:$B$114,2,FALSE),"")</f>
        <v>1122</v>
      </c>
      <c r="D118">
        <f>IFERROR(VLOOKUP(D55,Sheet2!$A$1:$B$114,2,FALSE),"")</f>
        <v>1125</v>
      </c>
      <c r="E118">
        <f>IFERROR(VLOOKUP(E55,Sheet2!$A$1:$B$114,2,FALSE),"")</f>
        <v>1216</v>
      </c>
      <c r="F118" t="str">
        <f>IFERROR(VLOOKUP(F55,Sheet2!$A$1:$B$114,2,FALSE),"")</f>
        <v/>
      </c>
      <c r="G118">
        <f>IFERROR(VLOOKUP(G55,Sheet2!$A$1:$B$114,2,FALSE),"")</f>
        <v>1110</v>
      </c>
      <c r="H118">
        <f>IFERROR(VLOOKUP(H55,Sheet2!$A$1:$B$114,2,FALSE),"")</f>
        <v>1207</v>
      </c>
      <c r="I118">
        <f>IFERROR(VLOOKUP(I55,Sheet2!$A$1:$B$114,2,FALSE),"")</f>
        <v>1216</v>
      </c>
      <c r="J118" t="str">
        <f>IFERROR(VLOOKUP(J55,Sheet2!$A$1:$B$114,2,FALSE),"")</f>
        <v/>
      </c>
      <c r="K118">
        <f>IFERROR(VLOOKUP(K55,Sheet2!$A$1:$B$114,2,FALSE),"")</f>
        <v>1121</v>
      </c>
      <c r="L118">
        <f>IFERROR(VLOOKUP(L55,Sheet2!$A$1:$B$114,2,FALSE),"")</f>
        <v>1216</v>
      </c>
      <c r="M118" t="str">
        <f>IFERROR(VLOOKUP(M55,Sheet2!$A$1:$B$114,2,FALSE),"")</f>
        <v/>
      </c>
      <c r="N118">
        <f>IFERROR(VLOOKUP(N55,Sheet2!$A$1:$B$114,2,FALSE),"")</f>
        <v>1213</v>
      </c>
      <c r="O118">
        <f>IFERROR(VLOOKUP(O55,Sheet2!$A$1:$B$114,2,FALSE),"")</f>
        <v>1216</v>
      </c>
      <c r="P118" t="str">
        <f>IFERROR(VLOOKUP(P55,Sheet2!$A$1:$B$114,2,FALSE),"")</f>
        <v/>
      </c>
      <c r="Q118">
        <f>IFERROR(VLOOKUP(Q55,Sheet2!$A$1:$B$114,2,FALSE),"")</f>
        <v>1214</v>
      </c>
      <c r="R118">
        <f>IFERROR(VLOOKUP(R55,Sheet2!$A$1:$B$114,2,FALSE),"")</f>
        <v>1216</v>
      </c>
      <c r="S118" t="str">
        <f>IFERROR(VLOOKUP(S55,Sheet2!$A$1:$B$114,2,FALSE),"")</f>
        <v/>
      </c>
      <c r="T118" t="str">
        <f>IFERROR(VLOOKUP(T55,Sheet2!$A$1:$B$114,2,FALSE),"")</f>
        <v/>
      </c>
      <c r="U118" t="str">
        <f>IFERROR(VLOOKUP(U55,Sheet2!$A$1:$B$114,2,FALSE),"")</f>
        <v/>
      </c>
      <c r="V118" t="str">
        <f>IFERROR(VLOOKUP(V55,Sheet2!$A$1:$B$114,2,FALSE),"")</f>
        <v/>
      </c>
      <c r="W118" t="str">
        <f>IFERROR(VLOOKUP(W55,Sheet2!$A$1:$B$114,2,FALSE),"")</f>
        <v/>
      </c>
      <c r="X118" t="str">
        <f>IFERROR(VLOOKUP(X55,Sheet2!$A$1:$B$114,2,FALSE),"")</f>
        <v/>
      </c>
      <c r="Y118" t="str">
        <f>IFERROR(VLOOKUP(Y55,Sheet2!$A$1:$B$114,2,FALSE),"")</f>
        <v/>
      </c>
      <c r="Z118" t="str">
        <f>IFERROR(VLOOKUP(Z55,Sheet2!$A$1:$B$114,2,FALSE),"")</f>
        <v/>
      </c>
      <c r="AA118" t="str">
        <f>IFERROR(VLOOKUP(AA55,Sheet2!$A$1:$B$114,2,FALSE),"")</f>
        <v/>
      </c>
      <c r="AB118" t="str">
        <f>IFERROR(VLOOKUP(AB55,Sheet2!$A$1:$B$114,2,FALSE),"")</f>
        <v/>
      </c>
      <c r="AC118" t="str">
        <f>IFERROR(VLOOKUP(AC55,Sheet2!$A$1:$B$114,2,FALSE),"")</f>
        <v/>
      </c>
    </row>
    <row r="119" spans="1:29">
      <c r="A119" s="10" t="s">
        <v>51</v>
      </c>
      <c r="C119">
        <f>IFERROR(VLOOKUP(C56,Sheet2!$A$1:$B$114,2,FALSE),"")</f>
        <v>1136</v>
      </c>
      <c r="D119">
        <f>IFERROR(VLOOKUP(D56,Sheet2!$A$1:$B$114,2,FALSE),"")</f>
        <v>1152</v>
      </c>
      <c r="E119">
        <f>IFERROR(VLOOKUP(E56,Sheet2!$A$1:$B$114,2,FALSE),"")</f>
        <v>1130</v>
      </c>
      <c r="F119" t="str">
        <f>IFERROR(VLOOKUP(F56,Sheet2!$A$1:$B$114,2,FALSE),"")</f>
        <v/>
      </c>
      <c r="G119">
        <f>IFERROR(VLOOKUP(G56,Sheet2!$A$1:$B$114,2,FALSE),"")</f>
        <v>1130</v>
      </c>
      <c r="H119">
        <f>IFERROR(VLOOKUP(H56,Sheet2!$A$1:$B$114,2,FALSE),"")</f>
        <v>1118</v>
      </c>
      <c r="I119" t="str">
        <f>IFERROR(VLOOKUP(I56,Sheet2!$A$1:$B$114,2,FALSE),"")</f>
        <v/>
      </c>
      <c r="J119">
        <f>IFERROR(VLOOKUP(J56,Sheet2!$A$1:$B$114,2,FALSE),"")</f>
        <v>1130</v>
      </c>
      <c r="K119">
        <f>IFERROR(VLOOKUP(K56,Sheet2!$A$1:$B$114,2,FALSE),"")</f>
        <v>1136</v>
      </c>
      <c r="L119" t="str">
        <f>IFERROR(VLOOKUP(L56,Sheet2!$A$1:$B$114,2,FALSE),"")</f>
        <v/>
      </c>
      <c r="M119">
        <f>IFERROR(VLOOKUP(M56,Sheet2!$A$1:$B$114,2,FALSE),"")</f>
        <v>1130</v>
      </c>
      <c r="N119">
        <f>IFERROR(VLOOKUP(N56,Sheet2!$A$1:$B$114,2,FALSE),"")</f>
        <v>1128</v>
      </c>
      <c r="O119" t="str">
        <f>IFERROR(VLOOKUP(O56,Sheet2!$A$1:$B$114,2,FALSE),"")</f>
        <v/>
      </c>
      <c r="P119" t="str">
        <f>IFERROR(VLOOKUP(P56,Sheet2!$A$1:$B$114,2,FALSE),"")</f>
        <v/>
      </c>
      <c r="Q119" t="str">
        <f>IFERROR(VLOOKUP(Q56,Sheet2!$A$1:$B$114,2,FALSE),"")</f>
        <v/>
      </c>
      <c r="R119" t="str">
        <f>IFERROR(VLOOKUP(R56,Sheet2!$A$1:$B$114,2,FALSE),"")</f>
        <v/>
      </c>
      <c r="S119" t="str">
        <f>IFERROR(VLOOKUP(S56,Sheet2!$A$1:$B$114,2,FALSE),"")</f>
        <v/>
      </c>
      <c r="T119" t="str">
        <f>IFERROR(VLOOKUP(T56,Sheet2!$A$1:$B$114,2,FALSE),"")</f>
        <v/>
      </c>
      <c r="U119" t="str">
        <f>IFERROR(VLOOKUP(U56,Sheet2!$A$1:$B$114,2,FALSE),"")</f>
        <v/>
      </c>
      <c r="V119" t="str">
        <f>IFERROR(VLOOKUP(V56,Sheet2!$A$1:$B$114,2,FALSE),"")</f>
        <v/>
      </c>
      <c r="W119" t="str">
        <f>IFERROR(VLOOKUP(W56,Sheet2!$A$1:$B$114,2,FALSE),"")</f>
        <v/>
      </c>
      <c r="X119" t="str">
        <f>IFERROR(VLOOKUP(X56,Sheet2!$A$1:$B$114,2,FALSE),"")</f>
        <v/>
      </c>
      <c r="Y119" t="str">
        <f>IFERROR(VLOOKUP(Y56,Sheet2!$A$1:$B$114,2,FALSE),"")</f>
        <v/>
      </c>
      <c r="Z119" t="str">
        <f>IFERROR(VLOOKUP(Z56,Sheet2!$A$1:$B$114,2,FALSE),"")</f>
        <v/>
      </c>
      <c r="AA119" t="str">
        <f>IFERROR(VLOOKUP(AA56,Sheet2!$A$1:$B$114,2,FALSE),"")</f>
        <v/>
      </c>
      <c r="AB119" t="str">
        <f>IFERROR(VLOOKUP(AB56,Sheet2!$A$1:$B$114,2,FALSE),"")</f>
        <v/>
      </c>
      <c r="AC119" t="str">
        <f>IFERROR(VLOOKUP(AC56,Sheet2!$A$1:$B$114,2,FALSE),"")</f>
        <v/>
      </c>
    </row>
    <row r="120" spans="1:29">
      <c r="A120" s="10" t="s">
        <v>49</v>
      </c>
      <c r="C120">
        <f>IFERROR(VLOOKUP(C57,Sheet2!$A$1:$B$114,2,FALSE),"")</f>
        <v>1192</v>
      </c>
      <c r="D120">
        <f>IFERROR(VLOOKUP(D57,Sheet2!$A$1:$B$114,2,FALSE),"")</f>
        <v>1118</v>
      </c>
      <c r="E120">
        <f>IFERROR(VLOOKUP(E57,Sheet2!$A$1:$B$114,2,FALSE),"")</f>
        <v>1152</v>
      </c>
      <c r="F120" t="str">
        <f>IFERROR(VLOOKUP(F57,Sheet2!$A$1:$B$114,2,FALSE),"")</f>
        <v/>
      </c>
      <c r="G120">
        <f>IFERROR(VLOOKUP(G57,Sheet2!$A$1:$B$114,2,FALSE),"")</f>
        <v>1130</v>
      </c>
      <c r="H120">
        <f>IFERROR(VLOOKUP(H57,Sheet2!$A$1:$B$114,2,FALSE),"")</f>
        <v>1118</v>
      </c>
      <c r="I120" t="str">
        <f>IFERROR(VLOOKUP(I57,Sheet2!$A$1:$B$114,2,FALSE),"")</f>
        <v/>
      </c>
      <c r="J120">
        <f>IFERROR(VLOOKUP(J57,Sheet2!$A$1:$B$114,2,FALSE),"")</f>
        <v>1118</v>
      </c>
      <c r="K120">
        <f>IFERROR(VLOOKUP(K57,Sheet2!$A$1:$B$114,2,FALSE),"")</f>
        <v>1128</v>
      </c>
      <c r="L120" t="str">
        <f>IFERROR(VLOOKUP(L57,Sheet2!$A$1:$B$114,2,FALSE),"")</f>
        <v/>
      </c>
      <c r="M120">
        <f>IFERROR(VLOOKUP(M57,Sheet2!$A$1:$B$114,2,FALSE),"")</f>
        <v>1118</v>
      </c>
      <c r="N120">
        <f>IFERROR(VLOOKUP(N57,Sheet2!$A$1:$B$114,2,FALSE),"")</f>
        <v>1192</v>
      </c>
      <c r="O120" t="str">
        <f>IFERROR(VLOOKUP(O57,Sheet2!$A$1:$B$114,2,FALSE),"")</f>
        <v/>
      </c>
      <c r="P120" t="str">
        <f>IFERROR(VLOOKUP(P57,Sheet2!$A$1:$B$114,2,FALSE),"")</f>
        <v/>
      </c>
      <c r="Q120" t="str">
        <f>IFERROR(VLOOKUP(Q57,Sheet2!$A$1:$B$114,2,FALSE),"")</f>
        <v/>
      </c>
      <c r="R120" t="str">
        <f>IFERROR(VLOOKUP(R57,Sheet2!$A$1:$B$114,2,FALSE),"")</f>
        <v/>
      </c>
      <c r="S120" t="str">
        <f>IFERROR(VLOOKUP(S57,Sheet2!$A$1:$B$114,2,FALSE),"")</f>
        <v/>
      </c>
      <c r="T120" t="str">
        <f>IFERROR(VLOOKUP(T57,Sheet2!$A$1:$B$114,2,FALSE),"")</f>
        <v/>
      </c>
      <c r="U120" t="str">
        <f>IFERROR(VLOOKUP(U57,Sheet2!$A$1:$B$114,2,FALSE),"")</f>
        <v/>
      </c>
      <c r="V120" t="str">
        <f>IFERROR(VLOOKUP(V57,Sheet2!$A$1:$B$114,2,FALSE),"")</f>
        <v/>
      </c>
      <c r="W120" t="str">
        <f>IFERROR(VLOOKUP(W57,Sheet2!$A$1:$B$114,2,FALSE),"")</f>
        <v/>
      </c>
      <c r="X120" t="str">
        <f>IFERROR(VLOOKUP(X57,Sheet2!$A$1:$B$114,2,FALSE),"")</f>
        <v/>
      </c>
      <c r="Y120" t="str">
        <f>IFERROR(VLOOKUP(Y57,Sheet2!$A$1:$B$114,2,FALSE),"")</f>
        <v/>
      </c>
      <c r="Z120" t="str">
        <f>IFERROR(VLOOKUP(Z57,Sheet2!$A$1:$B$114,2,FALSE),"")</f>
        <v/>
      </c>
      <c r="AA120" t="str">
        <f>IFERROR(VLOOKUP(AA57,Sheet2!$A$1:$B$114,2,FALSE),"")</f>
        <v/>
      </c>
      <c r="AB120" t="str">
        <f>IFERROR(VLOOKUP(AB57,Sheet2!$A$1:$B$114,2,FALSE),"")</f>
        <v/>
      </c>
      <c r="AC120" t="str">
        <f>IFERROR(VLOOKUP(AC57,Sheet2!$A$1:$B$114,2,FALSE),"")</f>
        <v/>
      </c>
    </row>
    <row r="121" spans="1:29">
      <c r="A121" s="10" t="s">
        <v>56</v>
      </c>
      <c r="C121">
        <f>IFERROR(VLOOKUP(C58,Sheet2!$A$1:$B$114,2,FALSE),"")</f>
        <v>1136</v>
      </c>
      <c r="D121">
        <f>IFERROR(VLOOKUP(D58,Sheet2!$A$1:$B$114,2,FALSE),"")</f>
        <v>1152</v>
      </c>
      <c r="E121">
        <f>IFERROR(VLOOKUP(E58,Sheet2!$A$1:$B$114,2,FALSE),"")</f>
        <v>1130</v>
      </c>
      <c r="F121" t="str">
        <f>IFERROR(VLOOKUP(F58,Sheet2!$A$1:$B$114,2,FALSE),"")</f>
        <v/>
      </c>
      <c r="G121">
        <f>IFERROR(VLOOKUP(G58,Sheet2!$A$1:$B$114,2,FALSE),"")</f>
        <v>1136</v>
      </c>
      <c r="H121">
        <f>IFERROR(VLOOKUP(H58,Sheet2!$A$1:$B$114,2,FALSE),"")</f>
        <v>1128</v>
      </c>
      <c r="I121" t="str">
        <f>IFERROR(VLOOKUP(I58,Sheet2!$A$1:$B$114,2,FALSE),"")</f>
        <v/>
      </c>
      <c r="J121">
        <f>IFERROR(VLOOKUP(J58,Sheet2!$A$1:$B$114,2,FALSE),"")</f>
        <v>1136</v>
      </c>
      <c r="K121">
        <f>IFERROR(VLOOKUP(K58,Sheet2!$A$1:$B$114,2,FALSE),"")</f>
        <v>1192</v>
      </c>
      <c r="L121" t="str">
        <f>IFERROR(VLOOKUP(L58,Sheet2!$A$1:$B$114,2,FALSE),"")</f>
        <v/>
      </c>
      <c r="M121">
        <f>IFERROR(VLOOKUP(M58,Sheet2!$A$1:$B$114,2,FALSE),"")</f>
        <v>1130</v>
      </c>
      <c r="N121">
        <f>IFERROR(VLOOKUP(N58,Sheet2!$A$1:$B$114,2,FALSE),"")</f>
        <v>1136</v>
      </c>
      <c r="O121" t="str">
        <f>IFERROR(VLOOKUP(O58,Sheet2!$A$1:$B$114,2,FALSE),"")</f>
        <v/>
      </c>
      <c r="P121" t="str">
        <f>IFERROR(VLOOKUP(P58,Sheet2!$A$1:$B$114,2,FALSE),"")</f>
        <v/>
      </c>
      <c r="Q121" t="str">
        <f>IFERROR(VLOOKUP(Q58,Sheet2!$A$1:$B$114,2,FALSE),"")</f>
        <v/>
      </c>
      <c r="R121" t="str">
        <f>IFERROR(VLOOKUP(R58,Sheet2!$A$1:$B$114,2,FALSE),"")</f>
        <v/>
      </c>
      <c r="S121" t="str">
        <f>IFERROR(VLOOKUP(S58,Sheet2!$A$1:$B$114,2,FALSE),"")</f>
        <v/>
      </c>
      <c r="T121" t="str">
        <f>IFERROR(VLOOKUP(T58,Sheet2!$A$1:$B$114,2,FALSE),"")</f>
        <v/>
      </c>
      <c r="U121" t="str">
        <f>IFERROR(VLOOKUP(U58,Sheet2!$A$1:$B$114,2,FALSE),"")</f>
        <v/>
      </c>
      <c r="V121" t="str">
        <f>IFERROR(VLOOKUP(V58,Sheet2!$A$1:$B$114,2,FALSE),"")</f>
        <v/>
      </c>
      <c r="W121" t="str">
        <f>IFERROR(VLOOKUP(W58,Sheet2!$A$1:$B$114,2,FALSE),"")</f>
        <v/>
      </c>
      <c r="X121" t="str">
        <f>IFERROR(VLOOKUP(X58,Sheet2!$A$1:$B$114,2,FALSE),"")</f>
        <v/>
      </c>
      <c r="Y121" t="str">
        <f>IFERROR(VLOOKUP(Y58,Sheet2!$A$1:$B$114,2,FALSE),"")</f>
        <v/>
      </c>
      <c r="Z121" t="str">
        <f>IFERROR(VLOOKUP(Z58,Sheet2!$A$1:$B$114,2,FALSE),"")</f>
        <v/>
      </c>
      <c r="AA121" t="str">
        <f>IFERROR(VLOOKUP(AA58,Sheet2!$A$1:$B$114,2,FALSE),"")</f>
        <v/>
      </c>
      <c r="AB121" t="str">
        <f>IFERROR(VLOOKUP(AB58,Sheet2!$A$1:$B$114,2,FALSE),"")</f>
        <v/>
      </c>
      <c r="AC121" t="str">
        <f>IFERROR(VLOOKUP(AC58,Sheet2!$A$1:$B$114,2,FALSE),"")</f>
        <v/>
      </c>
    </row>
    <row r="122" spans="1:29">
      <c r="A122" s="46" t="s">
        <v>150</v>
      </c>
      <c r="C122">
        <f>IFERROR(VLOOKUP(C59,Sheet2!$A$1:$B$114,2,FALSE),"")</f>
        <v>1136</v>
      </c>
      <c r="D122">
        <f>IFERROR(VLOOKUP(D59,Sheet2!$A$1:$B$114,2,FALSE),"")</f>
        <v>1128</v>
      </c>
      <c r="E122" t="str">
        <f>IFERROR(VLOOKUP(E59,Sheet2!$A$1:$B$114,2,FALSE),"")</f>
        <v/>
      </c>
      <c r="F122">
        <f>IFERROR(VLOOKUP(F59,Sheet2!$A$1:$B$114,2,FALSE),"")</f>
        <v>1118</v>
      </c>
      <c r="G122">
        <f>IFERROR(VLOOKUP(G59,Sheet2!$A$1:$B$114,2,FALSE),"")</f>
        <v>1128</v>
      </c>
      <c r="H122" t="str">
        <f>IFERROR(VLOOKUP(H59,Sheet2!$A$1:$B$114,2,FALSE),"")</f>
        <v/>
      </c>
      <c r="I122">
        <f>IFERROR(VLOOKUP(I59,Sheet2!$A$1:$B$114,2,FALSE),"")</f>
        <v>1128</v>
      </c>
      <c r="J122">
        <f>IFERROR(VLOOKUP(J59,Sheet2!$A$1:$B$114,2,FALSE),"")</f>
        <v>1152</v>
      </c>
      <c r="K122" t="str">
        <f>IFERROR(VLOOKUP(K59,Sheet2!$A$1:$B$114,2,FALSE),"")</f>
        <v/>
      </c>
      <c r="L122">
        <f>IFERROR(VLOOKUP(L59,Sheet2!$A$1:$B$114,2,FALSE),"")</f>
        <v>1130</v>
      </c>
      <c r="M122">
        <f>IFERROR(VLOOKUP(M59,Sheet2!$A$1:$B$114,2,FALSE),"")</f>
        <v>1128</v>
      </c>
      <c r="N122" t="str">
        <f>IFERROR(VLOOKUP(N59,Sheet2!$A$1:$B$114,2,FALSE),"")</f>
        <v/>
      </c>
      <c r="O122" t="str">
        <f>IFERROR(VLOOKUP(O59,Sheet2!$A$1:$B$114,2,FALSE),"")</f>
        <v/>
      </c>
      <c r="P122" t="str">
        <f>IFERROR(VLOOKUP(P59,Sheet2!$A$1:$B$114,2,FALSE),"")</f>
        <v/>
      </c>
      <c r="Q122" t="str">
        <f>IFERROR(VLOOKUP(Q59,Sheet2!$A$1:$B$114,2,FALSE),"")</f>
        <v/>
      </c>
      <c r="R122" t="str">
        <f>IFERROR(VLOOKUP(R59,Sheet2!$A$1:$B$114,2,FALSE),"")</f>
        <v/>
      </c>
      <c r="S122" t="str">
        <f>IFERROR(VLOOKUP(S59,Sheet2!$A$1:$B$114,2,FALSE),"")</f>
        <v/>
      </c>
      <c r="T122" t="str">
        <f>IFERROR(VLOOKUP(T59,Sheet2!$A$1:$B$114,2,FALSE),"")</f>
        <v/>
      </c>
      <c r="U122" t="str">
        <f>IFERROR(VLOOKUP(U59,Sheet2!$A$1:$B$114,2,FALSE),"")</f>
        <v/>
      </c>
      <c r="V122" t="str">
        <f>IFERROR(VLOOKUP(V59,Sheet2!$A$1:$B$114,2,FALSE),"")</f>
        <v/>
      </c>
      <c r="W122" t="str">
        <f>IFERROR(VLOOKUP(W59,Sheet2!$A$1:$B$114,2,FALSE),"")</f>
        <v/>
      </c>
      <c r="X122" t="str">
        <f>IFERROR(VLOOKUP(X59,Sheet2!$A$1:$B$114,2,FALSE),"")</f>
        <v/>
      </c>
      <c r="Y122" t="str">
        <f>IFERROR(VLOOKUP(Y59,Sheet2!$A$1:$B$114,2,FALSE),"")</f>
        <v/>
      </c>
      <c r="Z122" t="str">
        <f>IFERROR(VLOOKUP(Z59,Sheet2!$A$1:$B$114,2,FALSE),"")</f>
        <v/>
      </c>
      <c r="AA122" t="str">
        <f>IFERROR(VLOOKUP(AA59,Sheet2!$A$1:$B$114,2,FALSE),"")</f>
        <v/>
      </c>
      <c r="AB122" t="str">
        <f>IFERROR(VLOOKUP(AB59,Sheet2!$A$1:$B$114,2,FALSE),"")</f>
        <v/>
      </c>
      <c r="AC122" t="str">
        <f>IFERROR(VLOOKUP(AC59,Sheet2!$A$1:$B$114,2,FALSE),"")</f>
        <v/>
      </c>
    </row>
    <row r="123" spans="1:29">
      <c r="A123" s="10" t="s">
        <v>154</v>
      </c>
      <c r="C123">
        <f>IFERROR(VLOOKUP(C60,Sheet2!$A$1:$B$114,2,FALSE),"")</f>
        <v>1192</v>
      </c>
      <c r="D123">
        <f>IFERROR(VLOOKUP(D60,Sheet2!$A$1:$B$114,2,FALSE),"")</f>
        <v>1118</v>
      </c>
      <c r="E123">
        <f>IFERROR(VLOOKUP(E60,Sheet2!$A$1:$B$114,2,FALSE),"")</f>
        <v>1152</v>
      </c>
      <c r="F123" t="str">
        <f>IFERROR(VLOOKUP(F60,Sheet2!$A$1:$B$114,2,FALSE),"")</f>
        <v/>
      </c>
      <c r="G123">
        <f>IFERROR(VLOOKUP(G60,Sheet2!$A$1:$B$114,2,FALSE),"")</f>
        <v>1192</v>
      </c>
      <c r="H123">
        <f>IFERROR(VLOOKUP(H60,Sheet2!$A$1:$B$114,2,FALSE),"")</f>
        <v>1152</v>
      </c>
      <c r="I123" t="str">
        <f>IFERROR(VLOOKUP(I60,Sheet2!$A$1:$B$114,2,FALSE),"")</f>
        <v/>
      </c>
      <c r="J123">
        <f>IFERROR(VLOOKUP(J60,Sheet2!$A$1:$B$114,2,FALSE),"")</f>
        <v>1136</v>
      </c>
      <c r="K123">
        <f>IFERROR(VLOOKUP(K60,Sheet2!$A$1:$B$114,2,FALSE),"")</f>
        <v>1192</v>
      </c>
      <c r="L123" t="str">
        <f>IFERROR(VLOOKUP(L60,Sheet2!$A$1:$B$114,2,FALSE),"")</f>
        <v/>
      </c>
      <c r="M123">
        <f>IFERROR(VLOOKUP(M60,Sheet2!$A$1:$B$114,2,FALSE),"")</f>
        <v>1118</v>
      </c>
      <c r="N123">
        <f>IFERROR(VLOOKUP(N60,Sheet2!$A$1:$B$114,2,FALSE),"")</f>
        <v>1192</v>
      </c>
      <c r="O123" t="str">
        <f>IFERROR(VLOOKUP(O60,Sheet2!$A$1:$B$114,2,FALSE),"")</f>
        <v/>
      </c>
      <c r="P123" t="str">
        <f>IFERROR(VLOOKUP(P60,Sheet2!$A$1:$B$114,2,FALSE),"")</f>
        <v/>
      </c>
      <c r="Q123" t="str">
        <f>IFERROR(VLOOKUP(Q60,Sheet2!$A$1:$B$114,2,FALSE),"")</f>
        <v/>
      </c>
      <c r="R123" t="str">
        <f>IFERROR(VLOOKUP(R60,Sheet2!$A$1:$B$114,2,FALSE),"")</f>
        <v/>
      </c>
      <c r="S123" t="str">
        <f>IFERROR(VLOOKUP(S60,Sheet2!$A$1:$B$114,2,FALSE),"")</f>
        <v/>
      </c>
      <c r="T123" t="str">
        <f>IFERROR(VLOOKUP(T60,Sheet2!$A$1:$B$114,2,FALSE),"")</f>
        <v/>
      </c>
      <c r="U123" t="str">
        <f>IFERROR(VLOOKUP(U60,Sheet2!$A$1:$B$114,2,FALSE),"")</f>
        <v/>
      </c>
      <c r="V123" t="str">
        <f>IFERROR(VLOOKUP(V60,Sheet2!$A$1:$B$114,2,FALSE),"")</f>
        <v/>
      </c>
      <c r="W123" t="str">
        <f>IFERROR(VLOOKUP(W60,Sheet2!$A$1:$B$114,2,FALSE),"")</f>
        <v/>
      </c>
      <c r="X123" t="str">
        <f>IFERROR(VLOOKUP(X60,Sheet2!$A$1:$B$114,2,FALSE),"")</f>
        <v/>
      </c>
      <c r="Y123" t="str">
        <f>IFERROR(VLOOKUP(Y60,Sheet2!$A$1:$B$114,2,FALSE),"")</f>
        <v/>
      </c>
      <c r="Z123" t="str">
        <f>IFERROR(VLOOKUP(Z60,Sheet2!$A$1:$B$114,2,FALSE),"")</f>
        <v/>
      </c>
      <c r="AA123" t="str">
        <f>IFERROR(VLOOKUP(AA60,Sheet2!$A$1:$B$114,2,FALSE),"")</f>
        <v/>
      </c>
      <c r="AB123" t="str">
        <f>IFERROR(VLOOKUP(AB60,Sheet2!$A$1:$B$114,2,FALSE),"")</f>
        <v/>
      </c>
      <c r="AC123" t="str">
        <f>IFERROR(VLOOKUP(AC60,Sheet2!$A$1:$B$114,2,FALSE),"")</f>
        <v/>
      </c>
    </row>
    <row r="124" spans="1:29">
      <c r="A124" s="46" t="s">
        <v>32</v>
      </c>
      <c r="C124">
        <f>IFERROR(VLOOKUP(C61,Sheet2!$A$1:$B$114,2,FALSE),"")</f>
        <v>1136</v>
      </c>
      <c r="D124">
        <f>IFERROR(VLOOKUP(D61,Sheet2!$A$1:$B$114,2,FALSE),"")</f>
        <v>1152</v>
      </c>
      <c r="E124">
        <f>IFERROR(VLOOKUP(E61,Sheet2!$A$1:$B$114,2,FALSE),"")</f>
        <v>1130</v>
      </c>
      <c r="F124" t="str">
        <f>IFERROR(VLOOKUP(F61,Sheet2!$A$1:$B$114,2,FALSE),"")</f>
        <v/>
      </c>
      <c r="G124">
        <f>IFERROR(VLOOKUP(G61,Sheet2!$A$1:$B$114,2,FALSE),"")</f>
        <v>1192</v>
      </c>
      <c r="H124">
        <f>IFERROR(VLOOKUP(H61,Sheet2!$A$1:$B$114,2,FALSE),"")</f>
        <v>1118</v>
      </c>
      <c r="I124">
        <f>IFERROR(VLOOKUP(I61,Sheet2!$A$1:$B$114,2,FALSE),"")</f>
        <v>1152</v>
      </c>
      <c r="J124" t="str">
        <f>IFERROR(VLOOKUP(J61,Sheet2!$A$1:$B$114,2,FALSE),"")</f>
        <v/>
      </c>
      <c r="K124">
        <f>IFERROR(VLOOKUP(K61,Sheet2!$A$1:$B$114,2,FALSE),"")</f>
        <v>1192</v>
      </c>
      <c r="L124">
        <f>IFERROR(VLOOKUP(L61,Sheet2!$A$1:$B$114,2,FALSE),"")</f>
        <v>1152</v>
      </c>
      <c r="M124" t="str">
        <f>IFERROR(VLOOKUP(M61,Sheet2!$A$1:$B$114,2,FALSE),"")</f>
        <v/>
      </c>
      <c r="N124">
        <f>IFERROR(VLOOKUP(N61,Sheet2!$A$1:$B$114,2,FALSE),"")</f>
        <v>1128</v>
      </c>
      <c r="O124">
        <f>IFERROR(VLOOKUP(O61,Sheet2!$A$1:$B$114,2,FALSE),"")</f>
        <v>1152</v>
      </c>
      <c r="P124" t="str">
        <f>IFERROR(VLOOKUP(P61,Sheet2!$A$1:$B$114,2,FALSE),"")</f>
        <v/>
      </c>
      <c r="Q124" t="str">
        <f>IFERROR(VLOOKUP(Q61,Sheet2!$A$1:$B$114,2,FALSE),"")</f>
        <v/>
      </c>
      <c r="R124" t="str">
        <f>IFERROR(VLOOKUP(R61,Sheet2!$A$1:$B$114,2,FALSE),"")</f>
        <v/>
      </c>
      <c r="S124" t="str">
        <f>IFERROR(VLOOKUP(S61,Sheet2!$A$1:$B$114,2,FALSE),"")</f>
        <v/>
      </c>
      <c r="T124" t="str">
        <f>IFERROR(VLOOKUP(T61,Sheet2!$A$1:$B$114,2,FALSE),"")</f>
        <v/>
      </c>
      <c r="U124" t="str">
        <f>IFERROR(VLOOKUP(U61,Sheet2!$A$1:$B$114,2,FALSE),"")</f>
        <v/>
      </c>
      <c r="V124" t="str">
        <f>IFERROR(VLOOKUP(V61,Sheet2!$A$1:$B$114,2,FALSE),"")</f>
        <v/>
      </c>
      <c r="W124" t="str">
        <f>IFERROR(VLOOKUP(W61,Sheet2!$A$1:$B$114,2,FALSE),"")</f>
        <v/>
      </c>
      <c r="X124" t="str">
        <f>IFERROR(VLOOKUP(X61,Sheet2!$A$1:$B$114,2,FALSE),"")</f>
        <v/>
      </c>
      <c r="Y124" t="str">
        <f>IFERROR(VLOOKUP(Y61,Sheet2!$A$1:$B$114,2,FALSE),"")</f>
        <v/>
      </c>
      <c r="Z124" t="str">
        <f>IFERROR(VLOOKUP(Z61,Sheet2!$A$1:$B$114,2,FALSE),"")</f>
        <v/>
      </c>
      <c r="AA124" t="str">
        <f>IFERROR(VLOOKUP(AA61,Sheet2!$A$1:$B$114,2,FALSE),"")</f>
        <v/>
      </c>
      <c r="AB124" t="str">
        <f>IFERROR(VLOOKUP(AB61,Sheet2!$A$1:$B$114,2,FALSE),"")</f>
        <v/>
      </c>
      <c r="AC124" t="str">
        <f>IFERROR(VLOOKUP(AC61,Sheet2!$A$1:$B$114,2,FALSE),"")</f>
        <v/>
      </c>
    </row>
  </sheetData>
  <phoneticPr fontId="2" type="noConversion"/>
  <conditionalFormatting sqref="C22:W61">
    <cfRule type="expression" dxfId="3" priority="1">
      <formula>INDEX($D:$D,MATCH(C22,$A:$A,0))=11</formula>
    </cfRule>
    <cfRule type="expression" dxfId="2" priority="2">
      <formula>INDEX($D:$D,MATCH(C22,$A:$A,0))=13</formula>
    </cfRule>
    <cfRule type="expression" dxfId="1" priority="3">
      <formula>INDEX($D:$D,MATCH(C22,$A:$A,0))=16</formula>
    </cfRule>
    <cfRule type="expression" dxfId="0" priority="4">
      <formula>INDEX($D:$D,MATCH(C22,$A:$A,0))=20</formula>
    </cfRule>
  </conditionalFormatting>
  <pageMargins left="0.7" right="0.7" top="0.75" bottom="0.75" header="0.3" footer="0.3"/>
  <pageSetup orientation="portrait" horizontalDpi="200" verticalDpi="2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4"/>
  <sheetViews>
    <sheetView workbookViewId="0">
      <selection activeCell="D22" sqref="D22"/>
    </sheetView>
  </sheetViews>
  <sheetFormatPr defaultRowHeight="13.5"/>
  <cols>
    <col min="3" max="3" width="24.375" customWidth="1"/>
  </cols>
  <sheetData>
    <row r="1" spans="1:3" ht="16.5">
      <c r="A1" s="54" t="s">
        <v>31</v>
      </c>
      <c r="B1" s="54">
        <v>1102</v>
      </c>
      <c r="C1" s="54" t="s">
        <v>262</v>
      </c>
    </row>
    <row r="2" spans="1:3" ht="16.5">
      <c r="A2" s="54" t="s">
        <v>179</v>
      </c>
      <c r="B2" s="54">
        <v>1211</v>
      </c>
      <c r="C2" s="54" t="s">
        <v>263</v>
      </c>
    </row>
    <row r="3" spans="1:3" ht="16.5">
      <c r="A3" s="54" t="s">
        <v>29</v>
      </c>
      <c r="B3" s="54">
        <v>1101</v>
      </c>
      <c r="C3" s="54" t="s">
        <v>264</v>
      </c>
    </row>
    <row r="4" spans="1:3" ht="16.5">
      <c r="A4" s="55" t="s">
        <v>180</v>
      </c>
      <c r="B4" s="55">
        <v>1108</v>
      </c>
      <c r="C4" s="54" t="s">
        <v>265</v>
      </c>
    </row>
    <row r="5" spans="1:3" ht="16.5">
      <c r="A5" s="54" t="s">
        <v>41</v>
      </c>
      <c r="B5" s="54">
        <v>1113</v>
      </c>
      <c r="C5" s="54" t="s">
        <v>266</v>
      </c>
    </row>
    <row r="6" spans="1:3" ht="16.5">
      <c r="A6" s="54" t="s">
        <v>2</v>
      </c>
      <c r="B6" s="54">
        <v>1120</v>
      </c>
      <c r="C6" s="54" t="s">
        <v>267</v>
      </c>
    </row>
    <row r="7" spans="1:3" ht="16.5">
      <c r="A7" s="55" t="s">
        <v>181</v>
      </c>
      <c r="B7" s="55">
        <v>1127</v>
      </c>
      <c r="C7" s="54" t="s">
        <v>268</v>
      </c>
    </row>
    <row r="8" spans="1:3" ht="16.5">
      <c r="A8" s="55" t="s">
        <v>42</v>
      </c>
      <c r="B8" s="56">
        <v>1212</v>
      </c>
      <c r="C8" s="67" t="s">
        <v>269</v>
      </c>
    </row>
    <row r="9" spans="1:3" ht="16.5">
      <c r="A9" s="58" t="s">
        <v>182</v>
      </c>
      <c r="B9" s="57">
        <v>1219</v>
      </c>
      <c r="C9" s="57" t="s">
        <v>270</v>
      </c>
    </row>
    <row r="10" spans="1:3" ht="16.5">
      <c r="A10" s="54" t="s">
        <v>183</v>
      </c>
      <c r="B10" s="54">
        <v>1112</v>
      </c>
      <c r="C10" s="54" t="s">
        <v>271</v>
      </c>
    </row>
    <row r="11" spans="1:3" ht="16.5">
      <c r="A11" s="54" t="s">
        <v>184</v>
      </c>
      <c r="B11" s="54">
        <v>1119</v>
      </c>
      <c r="C11" s="54" t="s">
        <v>272</v>
      </c>
    </row>
    <row r="12" spans="1:3" ht="16.5">
      <c r="A12" s="54" t="s">
        <v>13</v>
      </c>
      <c r="B12" s="54">
        <v>1105</v>
      </c>
      <c r="C12" s="54" t="s">
        <v>273</v>
      </c>
    </row>
    <row r="13" spans="1:3" ht="16.5">
      <c r="A13" s="58" t="s">
        <v>185</v>
      </c>
      <c r="B13" s="57">
        <v>1218</v>
      </c>
      <c r="C13" s="57" t="s">
        <v>274</v>
      </c>
    </row>
    <row r="14" spans="1:3" ht="16.5">
      <c r="A14" s="54" t="s">
        <v>186</v>
      </c>
      <c r="B14" s="54">
        <v>1124</v>
      </c>
      <c r="C14" s="54" t="s">
        <v>275</v>
      </c>
    </row>
    <row r="15" spans="1:3" ht="16.5">
      <c r="A15" s="55" t="s">
        <v>187</v>
      </c>
      <c r="B15" s="55">
        <v>1126</v>
      </c>
      <c r="C15" s="54" t="s">
        <v>276</v>
      </c>
    </row>
    <row r="16" spans="1:3" ht="16.5">
      <c r="A16" s="55" t="s">
        <v>40</v>
      </c>
      <c r="B16" s="55">
        <v>1213</v>
      </c>
      <c r="C16" s="68" t="s">
        <v>277</v>
      </c>
    </row>
    <row r="17" spans="1:3" ht="16.5">
      <c r="A17" s="55" t="s">
        <v>188</v>
      </c>
      <c r="B17" s="55">
        <v>1214</v>
      </c>
      <c r="C17" s="68" t="s">
        <v>278</v>
      </c>
    </row>
    <row r="18" spans="1:3" ht="16.5">
      <c r="A18" s="54" t="s">
        <v>7</v>
      </c>
      <c r="B18" s="54">
        <v>1103</v>
      </c>
      <c r="C18" s="54" t="s">
        <v>279</v>
      </c>
    </row>
    <row r="19" spans="1:3" ht="16.5">
      <c r="A19" s="58" t="s">
        <v>189</v>
      </c>
      <c r="B19" s="58">
        <v>1109</v>
      </c>
      <c r="C19" s="58" t="s">
        <v>280</v>
      </c>
    </row>
    <row r="20" spans="1:3" ht="16.5">
      <c r="A20" s="54" t="s">
        <v>168</v>
      </c>
      <c r="B20" s="54">
        <v>1111</v>
      </c>
      <c r="C20" s="54" t="s">
        <v>281</v>
      </c>
    </row>
    <row r="21" spans="1:3" ht="16.5">
      <c r="A21" s="54" t="s">
        <v>48</v>
      </c>
      <c r="B21" s="54">
        <v>1116</v>
      </c>
      <c r="C21" s="54" t="s">
        <v>282</v>
      </c>
    </row>
    <row r="22" spans="1:3" ht="16.5">
      <c r="A22" s="54" t="s">
        <v>43</v>
      </c>
      <c r="B22" s="54">
        <v>1121</v>
      </c>
      <c r="C22" s="54" t="s">
        <v>283</v>
      </c>
    </row>
    <row r="23" spans="1:3" ht="16.5">
      <c r="A23" s="59" t="s">
        <v>190</v>
      </c>
      <c r="B23" s="58">
        <v>1215</v>
      </c>
      <c r="C23" s="58" t="s">
        <v>284</v>
      </c>
    </row>
    <row r="24" spans="1:3" ht="16.5">
      <c r="A24" s="54" t="s">
        <v>47</v>
      </c>
      <c r="B24" s="54">
        <v>1114</v>
      </c>
      <c r="C24" s="54" t="s">
        <v>285</v>
      </c>
    </row>
    <row r="25" spans="1:3" ht="16.5">
      <c r="A25" s="54" t="s">
        <v>25</v>
      </c>
      <c r="B25" s="54">
        <v>1110</v>
      </c>
      <c r="C25" s="54" t="s">
        <v>286</v>
      </c>
    </row>
    <row r="26" spans="1:3" ht="16.5">
      <c r="A26" s="54" t="s">
        <v>35</v>
      </c>
      <c r="B26" s="54">
        <v>1104</v>
      </c>
      <c r="C26" s="54" t="s">
        <v>287</v>
      </c>
    </row>
    <row r="27" spans="1:3" ht="16.5">
      <c r="A27" s="54" t="s">
        <v>15</v>
      </c>
      <c r="B27" s="54">
        <v>1135</v>
      </c>
      <c r="C27" s="54" t="s">
        <v>288</v>
      </c>
    </row>
    <row r="28" spans="1:3" ht="16.5">
      <c r="A28" s="54" t="s">
        <v>169</v>
      </c>
      <c r="B28" s="54">
        <v>1132</v>
      </c>
      <c r="C28" s="54" t="s">
        <v>289</v>
      </c>
    </row>
    <row r="29" spans="1:3" ht="16.5">
      <c r="A29" s="59" t="s">
        <v>50</v>
      </c>
      <c r="B29" s="58">
        <v>1125</v>
      </c>
      <c r="C29" s="58" t="s">
        <v>290</v>
      </c>
    </row>
    <row r="30" spans="1:3" ht="16.5">
      <c r="A30" s="55" t="s">
        <v>191</v>
      </c>
      <c r="B30" s="55">
        <v>1202</v>
      </c>
      <c r="C30" s="68" t="s">
        <v>291</v>
      </c>
    </row>
    <row r="31" spans="1:3" ht="16.5">
      <c r="A31" s="54" t="s">
        <v>5</v>
      </c>
      <c r="B31" s="54">
        <v>1123</v>
      </c>
      <c r="C31" s="54" t="s">
        <v>292</v>
      </c>
    </row>
    <row r="32" spans="1:3" ht="16.5">
      <c r="A32" s="54" t="s">
        <v>23</v>
      </c>
      <c r="B32" s="54">
        <v>1117</v>
      </c>
      <c r="C32" s="54" t="s">
        <v>293</v>
      </c>
    </row>
    <row r="33" spans="1:3" ht="16.5">
      <c r="A33" s="54" t="s">
        <v>192</v>
      </c>
      <c r="B33" s="54">
        <v>1201</v>
      </c>
      <c r="C33" s="54" t="s">
        <v>294</v>
      </c>
    </row>
    <row r="34" spans="1:3" ht="16.5">
      <c r="A34" s="54" t="s">
        <v>16</v>
      </c>
      <c r="B34" s="54">
        <v>1131</v>
      </c>
      <c r="C34" s="54" t="s">
        <v>295</v>
      </c>
    </row>
    <row r="35" spans="1:3" ht="16.5">
      <c r="A35" s="54" t="s">
        <v>27</v>
      </c>
      <c r="B35" s="54">
        <v>1137</v>
      </c>
      <c r="C35" s="54" t="s">
        <v>296</v>
      </c>
    </row>
    <row r="36" spans="1:3" ht="16.5">
      <c r="A36" s="55" t="s">
        <v>80</v>
      </c>
      <c r="B36" s="55">
        <v>1216</v>
      </c>
      <c r="C36" s="68" t="s">
        <v>320</v>
      </c>
    </row>
    <row r="37" spans="1:3" ht="16.5">
      <c r="A37" s="54" t="s">
        <v>36</v>
      </c>
      <c r="B37" s="54">
        <v>1106</v>
      </c>
      <c r="C37" s="54" t="s">
        <v>297</v>
      </c>
    </row>
    <row r="38" spans="1:3" ht="16.5">
      <c r="A38" s="54" t="s">
        <v>45</v>
      </c>
      <c r="B38" s="54">
        <v>1115</v>
      </c>
      <c r="C38" s="54" t="s">
        <v>298</v>
      </c>
    </row>
    <row r="39" spans="1:3" ht="16.5">
      <c r="A39" s="58" t="s">
        <v>193</v>
      </c>
      <c r="B39" s="58">
        <v>1208</v>
      </c>
      <c r="C39" s="58" t="s">
        <v>299</v>
      </c>
    </row>
    <row r="40" spans="1:3" ht="16.5">
      <c r="A40" s="54" t="s">
        <v>8</v>
      </c>
      <c r="B40" s="54">
        <v>1122</v>
      </c>
      <c r="C40" s="54" t="s">
        <v>300</v>
      </c>
    </row>
    <row r="41" spans="1:3" ht="16.5">
      <c r="A41" s="54" t="s">
        <v>194</v>
      </c>
      <c r="B41" s="54">
        <v>1207</v>
      </c>
      <c r="C41" s="54" t="s">
        <v>301</v>
      </c>
    </row>
    <row r="42" spans="1:3" ht="16.5">
      <c r="A42" s="60" t="s">
        <v>53</v>
      </c>
      <c r="B42" s="60">
        <v>1139</v>
      </c>
      <c r="C42" s="60" t="s">
        <v>302</v>
      </c>
    </row>
    <row r="43" spans="1:3" ht="16.5">
      <c r="A43" s="54" t="s">
        <v>54</v>
      </c>
      <c r="B43" s="54">
        <v>1140</v>
      </c>
      <c r="C43" s="54" t="s">
        <v>303</v>
      </c>
    </row>
    <row r="44" spans="1:3" ht="16.5">
      <c r="A44" s="55" t="s">
        <v>195</v>
      </c>
      <c r="B44" s="55">
        <v>1107</v>
      </c>
      <c r="C44" s="54" t="s">
        <v>304</v>
      </c>
    </row>
    <row r="45" spans="1:3" ht="16.5">
      <c r="A45" s="54" t="s">
        <v>196</v>
      </c>
      <c r="B45" s="54">
        <v>1134</v>
      </c>
      <c r="C45" s="54" t="s">
        <v>305</v>
      </c>
    </row>
    <row r="46" spans="1:3" ht="16.5">
      <c r="A46" s="54" t="s">
        <v>197</v>
      </c>
      <c r="B46" s="54">
        <v>1206</v>
      </c>
      <c r="C46" s="54" t="s">
        <v>306</v>
      </c>
    </row>
    <row r="47" spans="1:3" ht="16.5">
      <c r="A47" s="58" t="s">
        <v>51</v>
      </c>
      <c r="B47" s="58">
        <v>1130</v>
      </c>
      <c r="C47" s="58" t="s">
        <v>307</v>
      </c>
    </row>
    <row r="48" spans="1:3" ht="16.5">
      <c r="A48" s="54" t="s">
        <v>198</v>
      </c>
      <c r="B48" s="54">
        <v>1203</v>
      </c>
      <c r="C48" s="54" t="s">
        <v>308</v>
      </c>
    </row>
    <row r="49" spans="1:3" ht="16.5">
      <c r="A49" s="54" t="s">
        <v>199</v>
      </c>
      <c r="B49" s="54">
        <v>1205</v>
      </c>
      <c r="C49" s="54" t="s">
        <v>309</v>
      </c>
    </row>
    <row r="50" spans="1:3" ht="16.5">
      <c r="A50" s="54" t="s">
        <v>20</v>
      </c>
      <c r="B50" s="54">
        <v>1133</v>
      </c>
      <c r="C50" s="54" t="s">
        <v>310</v>
      </c>
    </row>
    <row r="51" spans="1:3" ht="16.5">
      <c r="A51" s="54" t="s">
        <v>200</v>
      </c>
      <c r="B51" s="54">
        <v>1204</v>
      </c>
      <c r="C51" s="54" t="s">
        <v>311</v>
      </c>
    </row>
    <row r="52" spans="1:3" ht="16.5">
      <c r="A52" s="55" t="s">
        <v>57</v>
      </c>
      <c r="B52" s="55">
        <v>1128</v>
      </c>
      <c r="C52" s="54" t="s">
        <v>321</v>
      </c>
    </row>
    <row r="53" spans="1:3" ht="16.5">
      <c r="A53" s="54" t="s">
        <v>49</v>
      </c>
      <c r="B53" s="54">
        <v>1118</v>
      </c>
      <c r="C53" s="54" t="s">
        <v>312</v>
      </c>
    </row>
    <row r="54" spans="1:3" ht="16.5">
      <c r="A54" s="54" t="s">
        <v>56</v>
      </c>
      <c r="B54" s="54">
        <v>1136</v>
      </c>
      <c r="C54" s="54" t="s">
        <v>313</v>
      </c>
    </row>
    <row r="55" spans="1:3" ht="16.5">
      <c r="A55" s="54" t="s">
        <v>201</v>
      </c>
      <c r="B55" s="54">
        <v>1141</v>
      </c>
      <c r="C55" s="54" t="s">
        <v>322</v>
      </c>
    </row>
    <row r="56" spans="1:3" ht="16.5">
      <c r="A56" s="54" t="s">
        <v>55</v>
      </c>
      <c r="B56" s="54">
        <v>1138</v>
      </c>
      <c r="C56" s="54" t="s">
        <v>314</v>
      </c>
    </row>
    <row r="57" spans="1:3" ht="16.5">
      <c r="A57" s="61" t="s">
        <v>202</v>
      </c>
      <c r="B57" s="61">
        <v>1142</v>
      </c>
      <c r="C57" s="61" t="s">
        <v>323</v>
      </c>
    </row>
    <row r="58" spans="1:3" ht="16.5">
      <c r="A58" s="54" t="s">
        <v>203</v>
      </c>
      <c r="B58" s="54">
        <v>1143</v>
      </c>
      <c r="C58" s="54" t="s">
        <v>324</v>
      </c>
    </row>
    <row r="59" spans="1:3" ht="16.5">
      <c r="A59" s="54" t="s">
        <v>204</v>
      </c>
      <c r="B59" s="54">
        <v>1146</v>
      </c>
      <c r="C59" s="54" t="s">
        <v>325</v>
      </c>
    </row>
    <row r="60" spans="1:3" ht="16.5">
      <c r="A60" s="54" t="s">
        <v>205</v>
      </c>
      <c r="B60" s="54">
        <v>1147</v>
      </c>
      <c r="C60" s="54" t="s">
        <v>326</v>
      </c>
    </row>
    <row r="61" spans="1:3" ht="16.5">
      <c r="A61" s="54" t="s">
        <v>206</v>
      </c>
      <c r="B61" s="54">
        <v>1148</v>
      </c>
      <c r="C61" s="54" t="s">
        <v>327</v>
      </c>
    </row>
    <row r="62" spans="1:3" ht="16.5">
      <c r="A62" s="54" t="s">
        <v>207</v>
      </c>
      <c r="B62" s="54">
        <v>1152</v>
      </c>
      <c r="C62" s="54" t="s">
        <v>315</v>
      </c>
    </row>
    <row r="63" spans="1:3" ht="16.5">
      <c r="A63" s="54" t="s">
        <v>208</v>
      </c>
      <c r="B63" s="54">
        <v>1155</v>
      </c>
      <c r="C63" s="54" t="s">
        <v>328</v>
      </c>
    </row>
    <row r="64" spans="1:3" ht="16.5">
      <c r="A64" s="54" t="s">
        <v>209</v>
      </c>
      <c r="B64" s="54">
        <v>1156</v>
      </c>
      <c r="C64" s="54" t="s">
        <v>329</v>
      </c>
    </row>
    <row r="65" spans="1:3" ht="16.5">
      <c r="A65" s="54" t="s">
        <v>210</v>
      </c>
      <c r="B65" s="54">
        <v>1157</v>
      </c>
      <c r="C65" s="54" t="s">
        <v>330</v>
      </c>
    </row>
    <row r="66" spans="1:3" ht="16.5">
      <c r="A66" s="54" t="s">
        <v>211</v>
      </c>
      <c r="B66" s="54">
        <v>1158</v>
      </c>
      <c r="C66" s="54" t="s">
        <v>331</v>
      </c>
    </row>
    <row r="67" spans="1:3" ht="16.5">
      <c r="A67" s="54" t="s">
        <v>212</v>
      </c>
      <c r="B67" s="54">
        <v>1159</v>
      </c>
      <c r="C67" s="54" t="s">
        <v>332</v>
      </c>
    </row>
    <row r="68" spans="1:3" ht="16.5">
      <c r="A68" s="54" t="s">
        <v>213</v>
      </c>
      <c r="B68" s="54">
        <v>1162</v>
      </c>
      <c r="C68" s="54" t="s">
        <v>333</v>
      </c>
    </row>
    <row r="69" spans="1:3" ht="16.5">
      <c r="A69" s="54" t="s">
        <v>214</v>
      </c>
      <c r="B69" s="54">
        <v>1163</v>
      </c>
      <c r="C69" s="54" t="s">
        <v>334</v>
      </c>
    </row>
    <row r="70" spans="1:3" ht="16.5">
      <c r="A70" s="54" t="s">
        <v>215</v>
      </c>
      <c r="B70" s="54">
        <v>1192</v>
      </c>
      <c r="C70" s="54" t="s">
        <v>316</v>
      </c>
    </row>
    <row r="71" spans="1:3" ht="16.5">
      <c r="A71" s="54" t="s">
        <v>216</v>
      </c>
      <c r="B71" s="54">
        <v>1153</v>
      </c>
      <c r="C71" s="54" t="s">
        <v>335</v>
      </c>
    </row>
    <row r="72" spans="1:3" ht="16.5">
      <c r="A72" s="54" t="s">
        <v>217</v>
      </c>
      <c r="B72" s="54">
        <v>1154</v>
      </c>
      <c r="C72" s="54" t="s">
        <v>336</v>
      </c>
    </row>
    <row r="73" spans="1:3" ht="16.5">
      <c r="A73" s="54" t="s">
        <v>218</v>
      </c>
      <c r="B73" s="54">
        <v>1164</v>
      </c>
      <c r="C73" s="54" t="s">
        <v>337</v>
      </c>
    </row>
    <row r="74" spans="1:3" ht="16.5">
      <c r="A74" s="54" t="s">
        <v>219</v>
      </c>
      <c r="B74" s="54">
        <v>1165</v>
      </c>
      <c r="C74" s="54" t="s">
        <v>338</v>
      </c>
    </row>
    <row r="75" spans="1:3" ht="16.5">
      <c r="A75" s="54" t="s">
        <v>220</v>
      </c>
      <c r="B75" s="54">
        <v>1166</v>
      </c>
      <c r="C75" s="54" t="s">
        <v>339</v>
      </c>
    </row>
    <row r="76" spans="1:3" ht="16.5">
      <c r="A76" s="54" t="s">
        <v>221</v>
      </c>
      <c r="B76" s="54">
        <v>1167</v>
      </c>
      <c r="C76" s="54" t="s">
        <v>340</v>
      </c>
    </row>
    <row r="77" spans="1:3" ht="16.5">
      <c r="A77" s="54" t="s">
        <v>222</v>
      </c>
      <c r="B77" s="54">
        <v>1168</v>
      </c>
      <c r="C77" s="54" t="s">
        <v>341</v>
      </c>
    </row>
    <row r="78" spans="1:3" ht="16.5">
      <c r="A78" s="54" t="s">
        <v>223</v>
      </c>
      <c r="B78" s="54">
        <v>1169</v>
      </c>
      <c r="C78" s="54" t="s">
        <v>342</v>
      </c>
    </row>
    <row r="79" spans="1:3" ht="16.5">
      <c r="A79" s="54" t="s">
        <v>224</v>
      </c>
      <c r="B79" s="54">
        <v>1170</v>
      </c>
      <c r="C79" s="54" t="s">
        <v>343</v>
      </c>
    </row>
    <row r="80" spans="1:3" ht="16.5">
      <c r="A80" s="54" t="s">
        <v>225</v>
      </c>
      <c r="B80" s="54">
        <v>1171</v>
      </c>
      <c r="C80" s="54" t="s">
        <v>344</v>
      </c>
    </row>
    <row r="81" spans="1:3" ht="16.5">
      <c r="A81" s="54" t="s">
        <v>226</v>
      </c>
      <c r="B81" s="54">
        <v>1176</v>
      </c>
      <c r="C81" s="54" t="s">
        <v>345</v>
      </c>
    </row>
    <row r="82" spans="1:3" ht="16.5">
      <c r="A82" s="54" t="s">
        <v>227</v>
      </c>
      <c r="B82" s="54">
        <v>1177</v>
      </c>
      <c r="C82" s="54" t="s">
        <v>346</v>
      </c>
    </row>
    <row r="83" spans="1:3" ht="16.5">
      <c r="A83" s="54" t="s">
        <v>228</v>
      </c>
      <c r="B83" s="54">
        <v>1178</v>
      </c>
      <c r="C83" s="54" t="s">
        <v>347</v>
      </c>
    </row>
    <row r="84" spans="1:3" ht="16.5">
      <c r="A84" s="54" t="s">
        <v>229</v>
      </c>
      <c r="B84" s="54">
        <v>1179</v>
      </c>
      <c r="C84" s="54" t="s">
        <v>348</v>
      </c>
    </row>
    <row r="85" spans="1:3" ht="16.5">
      <c r="A85" s="54" t="s">
        <v>230</v>
      </c>
      <c r="B85" s="54">
        <v>1180</v>
      </c>
      <c r="C85" s="54" t="s">
        <v>349</v>
      </c>
    </row>
    <row r="86" spans="1:3" ht="16.5">
      <c r="A86" s="54" t="s">
        <v>231</v>
      </c>
      <c r="B86" s="54">
        <v>1181</v>
      </c>
      <c r="C86" s="54" t="s">
        <v>350</v>
      </c>
    </row>
    <row r="87" spans="1:3" ht="16.5">
      <c r="A87" s="54" t="s">
        <v>232</v>
      </c>
      <c r="B87" s="54">
        <v>1182</v>
      </c>
      <c r="C87" s="54" t="s">
        <v>351</v>
      </c>
    </row>
    <row r="88" spans="1:3" ht="16.5">
      <c r="A88" s="54" t="s">
        <v>233</v>
      </c>
      <c r="B88" s="54">
        <v>1185</v>
      </c>
      <c r="C88" s="54" t="s">
        <v>352</v>
      </c>
    </row>
    <row r="89" spans="1:3" ht="16.5">
      <c r="A89" s="54" t="s">
        <v>234</v>
      </c>
      <c r="B89" s="54">
        <v>1186</v>
      </c>
      <c r="C89" s="54" t="s">
        <v>353</v>
      </c>
    </row>
    <row r="90" spans="1:3" ht="16.5">
      <c r="A90" s="54" t="s">
        <v>235</v>
      </c>
      <c r="B90" s="54">
        <v>1187</v>
      </c>
      <c r="C90" s="54" t="s">
        <v>354</v>
      </c>
    </row>
    <row r="91" spans="1:3" ht="16.5">
      <c r="A91" s="54" t="s">
        <v>236</v>
      </c>
      <c r="B91" s="54">
        <v>1188</v>
      </c>
      <c r="C91" s="54" t="s">
        <v>355</v>
      </c>
    </row>
    <row r="92" spans="1:3" ht="16.5">
      <c r="A92" s="54" t="s">
        <v>237</v>
      </c>
      <c r="B92" s="54">
        <v>1193</v>
      </c>
      <c r="C92" s="54" t="s">
        <v>317</v>
      </c>
    </row>
    <row r="93" spans="1:3" ht="16.5">
      <c r="A93" s="54" t="s">
        <v>238</v>
      </c>
      <c r="B93" s="54">
        <v>1194</v>
      </c>
      <c r="C93" s="54" t="s">
        <v>318</v>
      </c>
    </row>
    <row r="94" spans="1:3" ht="16.5">
      <c r="A94" s="54" t="s">
        <v>239</v>
      </c>
      <c r="B94" s="54">
        <v>1217</v>
      </c>
      <c r="C94" s="68" t="s">
        <v>356</v>
      </c>
    </row>
    <row r="95" spans="1:3" ht="16.5">
      <c r="A95" s="54" t="s">
        <v>240</v>
      </c>
      <c r="B95" s="54">
        <v>1501</v>
      </c>
      <c r="C95" s="54" t="s">
        <v>357</v>
      </c>
    </row>
    <row r="96" spans="1:3" ht="16.5">
      <c r="A96" s="54" t="s">
        <v>241</v>
      </c>
      <c r="B96" s="54">
        <v>1502</v>
      </c>
      <c r="C96" s="54" t="s">
        <v>358</v>
      </c>
    </row>
    <row r="97" spans="1:3" ht="16.5">
      <c r="A97" s="54" t="s">
        <v>242</v>
      </c>
      <c r="B97" s="54">
        <v>1503</v>
      </c>
      <c r="C97" s="54" t="s">
        <v>359</v>
      </c>
    </row>
    <row r="98" spans="1:3" ht="16.5">
      <c r="A98" s="54" t="s">
        <v>243</v>
      </c>
      <c r="B98" s="54">
        <v>1504</v>
      </c>
      <c r="C98" s="54" t="s">
        <v>360</v>
      </c>
    </row>
    <row r="99" spans="1:3" ht="16.5">
      <c r="A99" s="54" t="s">
        <v>244</v>
      </c>
      <c r="B99" s="54">
        <v>1505</v>
      </c>
      <c r="C99" s="54" t="s">
        <v>361</v>
      </c>
    </row>
    <row r="100" spans="1:3" ht="16.5">
      <c r="A100" s="54" t="s">
        <v>245</v>
      </c>
      <c r="B100" s="54">
        <v>1506</v>
      </c>
      <c r="C100" s="54" t="s">
        <v>362</v>
      </c>
    </row>
    <row r="101" spans="1:3" ht="16.5">
      <c r="A101" s="54" t="s">
        <v>246</v>
      </c>
      <c r="B101" s="54">
        <v>1507</v>
      </c>
      <c r="C101" s="54" t="s">
        <v>363</v>
      </c>
    </row>
    <row r="102" spans="1:3" ht="16.5">
      <c r="A102" s="54" t="s">
        <v>247</v>
      </c>
      <c r="B102" s="54">
        <v>1508</v>
      </c>
      <c r="C102" s="54" t="s">
        <v>364</v>
      </c>
    </row>
    <row r="103" spans="1:3" ht="16.5">
      <c r="A103" s="54" t="s">
        <v>248</v>
      </c>
      <c r="B103" s="54">
        <v>2018</v>
      </c>
      <c r="C103" s="54" t="s">
        <v>319</v>
      </c>
    </row>
    <row r="104" spans="1:3" ht="16.5">
      <c r="A104" s="62" t="s">
        <v>249</v>
      </c>
      <c r="B104" s="62">
        <v>1220</v>
      </c>
      <c r="C104" s="54" t="s">
        <v>304</v>
      </c>
    </row>
    <row r="105" spans="1:3" ht="16.5">
      <c r="A105" s="62" t="s">
        <v>250</v>
      </c>
      <c r="B105" s="62">
        <v>1221</v>
      </c>
      <c r="C105" s="54" t="s">
        <v>304</v>
      </c>
    </row>
    <row r="106" spans="1:3" ht="16.5">
      <c r="A106" s="62" t="s">
        <v>251</v>
      </c>
      <c r="B106" s="62">
        <v>1222</v>
      </c>
      <c r="C106" s="54" t="s">
        <v>304</v>
      </c>
    </row>
    <row r="107" spans="1:3" ht="16.5">
      <c r="A107" s="58" t="s">
        <v>252</v>
      </c>
      <c r="B107" s="58">
        <v>1223</v>
      </c>
      <c r="C107" s="69" t="s">
        <v>365</v>
      </c>
    </row>
    <row r="108" spans="1:3" ht="16.5">
      <c r="A108" s="62" t="s">
        <v>190</v>
      </c>
      <c r="B108" s="62">
        <v>1224</v>
      </c>
      <c r="C108" s="54" t="s">
        <v>304</v>
      </c>
    </row>
    <row r="109" spans="1:3" ht="16.5">
      <c r="A109" s="62" t="s">
        <v>253</v>
      </c>
      <c r="B109" s="62">
        <v>1225</v>
      </c>
      <c r="C109" s="54" t="s">
        <v>304</v>
      </c>
    </row>
    <row r="110" spans="1:3" ht="16.5">
      <c r="A110" s="54" t="s">
        <v>254</v>
      </c>
      <c r="B110" s="54">
        <v>1226</v>
      </c>
      <c r="C110" s="54" t="s">
        <v>366</v>
      </c>
    </row>
    <row r="111" spans="1:3" ht="16.5">
      <c r="A111" s="62" t="s">
        <v>255</v>
      </c>
      <c r="B111" s="62">
        <v>1227</v>
      </c>
      <c r="C111" s="54" t="s">
        <v>304</v>
      </c>
    </row>
    <row r="112" spans="1:3" ht="16.5">
      <c r="A112" s="63" t="s">
        <v>256</v>
      </c>
      <c r="B112" s="63">
        <v>1801</v>
      </c>
      <c r="C112" s="63" t="s">
        <v>283</v>
      </c>
    </row>
    <row r="113" spans="1:3" ht="16.5">
      <c r="A113" s="63" t="s">
        <v>257</v>
      </c>
      <c r="B113" s="63">
        <v>1802</v>
      </c>
      <c r="C113" s="63" t="s">
        <v>281</v>
      </c>
    </row>
    <row r="114" spans="1:3" ht="16.5">
      <c r="A114" s="64" t="s">
        <v>0</v>
      </c>
      <c r="B114" s="64">
        <v>1803</v>
      </c>
      <c r="C114" s="64" t="s">
        <v>272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zoomScale="85" zoomScaleNormal="85" workbookViewId="0">
      <selection activeCell="C14" sqref="C1:D14"/>
    </sheetView>
  </sheetViews>
  <sheetFormatPr defaultRowHeight="13.5"/>
  <cols>
    <col min="2" max="2" width="13.875" customWidth="1"/>
    <col min="3" max="4" width="16.625" customWidth="1"/>
    <col min="6" max="6" width="13.875" customWidth="1"/>
    <col min="7" max="7" width="16.125" customWidth="1"/>
    <col min="11" max="11" width="13.125" customWidth="1"/>
    <col min="12" max="12" width="15.25" customWidth="1"/>
    <col min="13" max="13" width="10.875" customWidth="1"/>
  </cols>
  <sheetData>
    <row r="1" spans="1:13" ht="16.5">
      <c r="A1" s="20">
        <v>1</v>
      </c>
      <c r="B1" s="12" t="s">
        <v>98</v>
      </c>
      <c r="C1" s="16" t="s">
        <v>112</v>
      </c>
      <c r="D1" s="16">
        <v>3001</v>
      </c>
      <c r="F1" s="16" t="s">
        <v>114</v>
      </c>
      <c r="G1" s="17" t="s">
        <v>116</v>
      </c>
      <c r="H1" s="1" t="s">
        <v>128</v>
      </c>
      <c r="J1" t="s">
        <v>530</v>
      </c>
      <c r="L1" t="s">
        <v>480</v>
      </c>
      <c r="M1" t="s">
        <v>531</v>
      </c>
    </row>
    <row r="2" spans="1:13" ht="16.5">
      <c r="A2" s="20">
        <v>2</v>
      </c>
      <c r="B2" s="13" t="s">
        <v>99</v>
      </c>
      <c r="C2" s="17" t="s">
        <v>113</v>
      </c>
      <c r="D2" s="16">
        <v>3002</v>
      </c>
      <c r="F2" s="18" t="s">
        <v>115</v>
      </c>
      <c r="G2" s="17" t="s">
        <v>117</v>
      </c>
      <c r="H2" s="1" t="s">
        <v>129</v>
      </c>
      <c r="J2" s="84">
        <v>3001</v>
      </c>
      <c r="K2" s="84" t="s">
        <v>513</v>
      </c>
      <c r="L2" t="str">
        <f>IFERROR(VLOOKUP(K2,$B$1:$C$17,2,FALSE),K2)</f>
        <v>寻音铃</v>
      </c>
      <c r="M2" s="84">
        <v>3001</v>
      </c>
    </row>
    <row r="3" spans="1:13" ht="16.5">
      <c r="A3" s="21">
        <v>3</v>
      </c>
      <c r="B3" s="12" t="s">
        <v>100</v>
      </c>
      <c r="C3" s="16" t="s">
        <v>114</v>
      </c>
      <c r="D3" s="16">
        <v>3006</v>
      </c>
      <c r="F3" s="1"/>
      <c r="G3" s="1"/>
      <c r="H3" s="1"/>
      <c r="J3" s="84">
        <v>3002</v>
      </c>
      <c r="K3" s="85" t="s">
        <v>514</v>
      </c>
      <c r="L3" t="str">
        <f t="shared" ref="L3:L21" si="0">IFERROR(VLOOKUP(K3,$B$1:$C$17,2,FALSE),K3)</f>
        <v>照妖镜</v>
      </c>
      <c r="M3" s="84">
        <v>3002</v>
      </c>
    </row>
    <row r="4" spans="1:13" ht="16.5">
      <c r="A4" s="21">
        <v>4</v>
      </c>
      <c r="B4" s="12" t="s">
        <v>101</v>
      </c>
      <c r="C4" s="18" t="s">
        <v>115</v>
      </c>
      <c r="D4" s="16">
        <v>3008</v>
      </c>
      <c r="F4" s="16" t="s">
        <v>103</v>
      </c>
      <c r="G4" s="17" t="s">
        <v>119</v>
      </c>
      <c r="H4" s="1" t="s">
        <v>130</v>
      </c>
      <c r="J4" s="86">
        <v>3003</v>
      </c>
      <c r="K4" s="86" t="s">
        <v>515</v>
      </c>
      <c r="L4" t="str">
        <f t="shared" si="0"/>
        <v>照妖镜</v>
      </c>
      <c r="M4" s="86">
        <v>3001</v>
      </c>
    </row>
    <row r="5" spans="1:13" ht="16.5">
      <c r="A5" s="21">
        <v>5</v>
      </c>
      <c r="B5" s="13" t="s">
        <v>102</v>
      </c>
      <c r="C5" s="17" t="s">
        <v>116</v>
      </c>
      <c r="D5" s="16">
        <v>3005</v>
      </c>
      <c r="F5" s="16" t="s">
        <v>118</v>
      </c>
      <c r="G5" s="17" t="s">
        <v>120</v>
      </c>
      <c r="H5" s="1" t="s">
        <v>131</v>
      </c>
      <c r="J5" s="86">
        <v>3004</v>
      </c>
      <c r="K5" s="86" t="s">
        <v>516</v>
      </c>
      <c r="L5" t="str">
        <f t="shared" si="0"/>
        <v>幌金绳</v>
      </c>
      <c r="M5" s="86">
        <v>3002</v>
      </c>
    </row>
    <row r="6" spans="1:13" ht="16.5">
      <c r="A6" s="21">
        <v>6</v>
      </c>
      <c r="B6" s="13" t="s">
        <v>103</v>
      </c>
      <c r="C6" s="17" t="s">
        <v>117</v>
      </c>
      <c r="D6" s="16">
        <v>3007</v>
      </c>
      <c r="F6" s="1"/>
      <c r="G6" s="1"/>
      <c r="H6" s="1"/>
      <c r="J6" s="84">
        <v>3005</v>
      </c>
      <c r="K6" s="84" t="s">
        <v>517</v>
      </c>
      <c r="L6" t="str">
        <f t="shared" si="0"/>
        <v>八卦镜</v>
      </c>
      <c r="M6" s="84">
        <v>3005</v>
      </c>
    </row>
    <row r="7" spans="1:13" ht="16.5">
      <c r="A7" s="22">
        <v>7</v>
      </c>
      <c r="B7" s="12" t="s">
        <v>104</v>
      </c>
      <c r="C7" s="16" t="s">
        <v>103</v>
      </c>
      <c r="D7" s="16">
        <v>3011</v>
      </c>
      <c r="F7" s="18" t="s">
        <v>121</v>
      </c>
      <c r="G7" s="17" t="s">
        <v>123</v>
      </c>
      <c r="H7" s="1" t="s">
        <v>132</v>
      </c>
      <c r="J7" s="84">
        <v>3006</v>
      </c>
      <c r="K7" s="84" t="s">
        <v>518</v>
      </c>
      <c r="L7" t="str">
        <f t="shared" si="0"/>
        <v>樱月铃</v>
      </c>
      <c r="M7" s="84">
        <v>3006</v>
      </c>
    </row>
    <row r="8" spans="1:13" ht="16.5">
      <c r="A8" s="22">
        <v>8</v>
      </c>
      <c r="B8" s="12" t="s">
        <v>105</v>
      </c>
      <c r="C8" s="16" t="s">
        <v>118</v>
      </c>
      <c r="D8" s="16">
        <v>3014</v>
      </c>
      <c r="F8" s="18" t="s">
        <v>122</v>
      </c>
      <c r="G8" s="17" t="s">
        <v>124</v>
      </c>
      <c r="H8" s="1" t="s">
        <v>133</v>
      </c>
      <c r="J8" s="84">
        <v>3007</v>
      </c>
      <c r="K8" s="84" t="s">
        <v>519</v>
      </c>
      <c r="L8" t="str">
        <f t="shared" si="0"/>
        <v>龙纹镜</v>
      </c>
      <c r="M8" s="84">
        <v>3007</v>
      </c>
    </row>
    <row r="9" spans="1:13" ht="16.5">
      <c r="A9" s="22">
        <v>9</v>
      </c>
      <c r="B9" s="13" t="s">
        <v>106</v>
      </c>
      <c r="C9" s="17" t="s">
        <v>119</v>
      </c>
      <c r="D9" s="16">
        <v>3012</v>
      </c>
      <c r="J9" s="84">
        <v>3008</v>
      </c>
      <c r="K9" s="84" t="s">
        <v>520</v>
      </c>
      <c r="L9" t="str">
        <f t="shared" si="0"/>
        <v>迷蝶铃</v>
      </c>
      <c r="M9" s="84">
        <v>3008</v>
      </c>
    </row>
    <row r="10" spans="1:13" ht="16.5">
      <c r="A10" s="22">
        <v>10</v>
      </c>
      <c r="B10" s="13" t="s">
        <v>107</v>
      </c>
      <c r="C10" s="17" t="s">
        <v>120</v>
      </c>
      <c r="D10" s="16">
        <v>3013</v>
      </c>
      <c r="J10" s="87">
        <v>3009</v>
      </c>
      <c r="K10" s="87" t="s">
        <v>521</v>
      </c>
      <c r="L10" t="str">
        <f t="shared" si="0"/>
        <v>点星芒</v>
      </c>
      <c r="M10" s="87">
        <v>3005</v>
      </c>
    </row>
    <row r="11" spans="1:13" ht="16.5">
      <c r="A11" s="22">
        <v>11</v>
      </c>
      <c r="B11" s="14" t="s">
        <v>108</v>
      </c>
      <c r="C11" s="18" t="s">
        <v>121</v>
      </c>
      <c r="D11" s="16">
        <v>3017</v>
      </c>
      <c r="J11" s="87">
        <v>3010</v>
      </c>
      <c r="K11" s="87" t="s">
        <v>522</v>
      </c>
      <c r="L11" t="str">
        <f t="shared" si="0"/>
        <v>金玉缘</v>
      </c>
      <c r="M11" s="87">
        <v>3006</v>
      </c>
    </row>
    <row r="12" spans="1:13" ht="16.5">
      <c r="A12" s="22">
        <v>12</v>
      </c>
      <c r="B12" s="14" t="s">
        <v>108</v>
      </c>
      <c r="C12" s="18" t="s">
        <v>122</v>
      </c>
      <c r="D12" s="16">
        <v>3019</v>
      </c>
      <c r="J12" s="84">
        <v>3011</v>
      </c>
      <c r="K12" s="84" t="s">
        <v>523</v>
      </c>
      <c r="L12" t="str">
        <f t="shared" si="0"/>
        <v>紫金铃</v>
      </c>
      <c r="M12" s="84">
        <v>3011</v>
      </c>
    </row>
    <row r="13" spans="1:13" ht="16.5">
      <c r="A13" s="22">
        <v>13</v>
      </c>
      <c r="B13" s="13" t="s">
        <v>108</v>
      </c>
      <c r="C13" s="17" t="s">
        <v>123</v>
      </c>
      <c r="D13" s="16">
        <v>3018</v>
      </c>
      <c r="J13" s="84">
        <v>3012</v>
      </c>
      <c r="K13" s="84" t="s">
        <v>524</v>
      </c>
      <c r="L13" t="str">
        <f t="shared" si="0"/>
        <v>阴阳镜</v>
      </c>
      <c r="M13" s="84">
        <v>3012</v>
      </c>
    </row>
    <row r="14" spans="1:13" ht="16.5">
      <c r="A14" s="22">
        <v>14</v>
      </c>
      <c r="B14" s="13" t="s">
        <v>108</v>
      </c>
      <c r="C14" s="17" t="s">
        <v>124</v>
      </c>
      <c r="D14" s="16">
        <v>3020</v>
      </c>
      <c r="J14" s="84">
        <v>3013</v>
      </c>
      <c r="K14" s="84" t="s">
        <v>525</v>
      </c>
      <c r="L14" t="str">
        <f t="shared" si="0"/>
        <v>混元镜</v>
      </c>
      <c r="M14" s="84">
        <v>3013</v>
      </c>
    </row>
    <row r="15" spans="1:13" ht="16.5">
      <c r="A15" s="23">
        <v>15</v>
      </c>
      <c r="B15" s="15" t="s">
        <v>109</v>
      </c>
      <c r="C15" s="19" t="s">
        <v>125</v>
      </c>
      <c r="D15" s="16">
        <f>VLOOKUP(C15,IF({1,0},$L$2:$L$21,$J$2:$J$21),2,0)</f>
        <v>4501</v>
      </c>
      <c r="J15" s="84">
        <v>3014</v>
      </c>
      <c r="K15" s="84" t="s">
        <v>526</v>
      </c>
      <c r="L15" t="str">
        <f t="shared" si="0"/>
        <v>幻光铃</v>
      </c>
      <c r="M15" s="84">
        <v>3014</v>
      </c>
    </row>
    <row r="16" spans="1:13" ht="16.5">
      <c r="A16" s="23">
        <v>16</v>
      </c>
      <c r="B16" s="15" t="s">
        <v>110</v>
      </c>
      <c r="C16" s="19" t="s">
        <v>126</v>
      </c>
      <c r="D16" s="16">
        <f>VLOOKUP(C16,IF({1,0},$L$2:$L$21,$J$2:$J$21),2,0)</f>
        <v>4502</v>
      </c>
      <c r="J16" s="87">
        <v>3015</v>
      </c>
      <c r="K16" s="87" t="s">
        <v>527</v>
      </c>
      <c r="L16" t="str">
        <f t="shared" si="0"/>
        <v>鎏金点翠</v>
      </c>
      <c r="M16" s="87">
        <v>3011</v>
      </c>
    </row>
    <row r="17" spans="1:13" ht="16.5">
      <c r="A17" s="23">
        <v>17</v>
      </c>
      <c r="B17" s="15" t="s">
        <v>111</v>
      </c>
      <c r="C17" s="19" t="s">
        <v>127</v>
      </c>
      <c r="D17" s="16">
        <f>VLOOKUP(C17,IF({1,0},$L$2:$L$21,$J$2:$J$21),2,0)</f>
        <v>4503</v>
      </c>
      <c r="J17" s="87">
        <v>3016</v>
      </c>
      <c r="K17" s="87" t="s">
        <v>528</v>
      </c>
      <c r="L17" t="str">
        <f t="shared" si="0"/>
        <v>紫金曼陀</v>
      </c>
      <c r="M17" s="87">
        <v>3012</v>
      </c>
    </row>
    <row r="18" spans="1:13" ht="16.5">
      <c r="A18" s="1"/>
      <c r="B18" s="1"/>
      <c r="C18" s="1"/>
      <c r="D18" s="1"/>
      <c r="J18" s="88">
        <v>4501</v>
      </c>
      <c r="K18" s="89" t="s">
        <v>109</v>
      </c>
      <c r="L18" t="str">
        <f t="shared" si="0"/>
        <v>蓝色经验法宝</v>
      </c>
      <c r="M18" s="88">
        <v>4501</v>
      </c>
    </row>
    <row r="19" spans="1:13" ht="16.5">
      <c r="A19" s="1"/>
      <c r="B19" s="1"/>
      <c r="C19" s="1"/>
      <c r="D19" s="1"/>
      <c r="J19" s="89">
        <v>4502</v>
      </c>
      <c r="K19" s="89" t="s">
        <v>110</v>
      </c>
      <c r="L19" t="str">
        <f t="shared" si="0"/>
        <v>紫色经验法宝</v>
      </c>
      <c r="M19" s="89">
        <v>4502</v>
      </c>
    </row>
    <row r="20" spans="1:13" ht="16.5">
      <c r="J20" s="89">
        <v>4503</v>
      </c>
      <c r="K20" s="89" t="s">
        <v>111</v>
      </c>
      <c r="L20" t="str">
        <f t="shared" si="0"/>
        <v>橙色经验法宝</v>
      </c>
      <c r="M20" s="89">
        <v>4503</v>
      </c>
    </row>
    <row r="21" spans="1:13" ht="16.5">
      <c r="J21" s="90">
        <v>4504</v>
      </c>
      <c r="K21" s="90" t="s">
        <v>529</v>
      </c>
      <c r="L21" t="str">
        <f t="shared" si="0"/>
        <v>红色经验法宝</v>
      </c>
      <c r="M21" s="90">
        <v>4503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英雄羁绊</vt:lpstr>
      <vt:lpstr>法宝羁绊</vt:lpstr>
      <vt:lpstr>hero_jiban表</vt:lpstr>
      <vt:lpstr>hero_main表</vt:lpstr>
      <vt:lpstr>中介表</vt:lpstr>
      <vt:lpstr>中转表</vt:lpstr>
      <vt:lpstr>Sheet2</vt:lpstr>
      <vt:lpstr>法宝数据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Pierce</dc:creator>
  <cp:lastModifiedBy>Windows User</cp:lastModifiedBy>
  <dcterms:created xsi:type="dcterms:W3CDTF">2017-06-26T03:37:53Z</dcterms:created>
  <dcterms:modified xsi:type="dcterms:W3CDTF">2018-01-02T15:03:55Z</dcterms:modified>
</cp:coreProperties>
</file>